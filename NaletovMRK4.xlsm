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63\Downloads\"/>
    </mc:Choice>
  </mc:AlternateContent>
  <bookViews>
    <workbookView xWindow="0" yWindow="0" windowWidth="20490" windowHeight="7755"/>
  </bookViews>
  <sheets>
    <sheet name="Лист1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2" i="1" l="1"/>
  <c r="J72" i="1" s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G70" i="1"/>
  <c r="G69" i="1" s="1"/>
  <c r="G68" i="1" s="1"/>
  <c r="G67" i="1"/>
  <c r="G66" i="1"/>
  <c r="G65" i="1"/>
  <c r="G64" i="1"/>
  <c r="G63" i="1"/>
  <c r="G62" i="1"/>
  <c r="G61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V57" i="1"/>
  <c r="U57" i="1"/>
  <c r="T57" i="1"/>
  <c r="S57" i="1"/>
  <c r="AK10" i="1" s="1"/>
  <c r="R57" i="1"/>
  <c r="Q57" i="1"/>
  <c r="G56" i="1"/>
  <c r="G55" i="1" s="1"/>
  <c r="G54" i="1" s="1"/>
  <c r="G53" i="1" s="1"/>
  <c r="G52" i="1" s="1"/>
  <c r="G51" i="1" s="1"/>
  <c r="G50" i="1" s="1"/>
  <c r="G49" i="1" s="1"/>
  <c r="G48" i="1" s="1"/>
  <c r="G47" i="1" s="1"/>
  <c r="K52" i="1"/>
  <c r="AC10" i="1" s="1"/>
  <c r="J52" i="1"/>
  <c r="I52" i="1"/>
  <c r="H52" i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G42" i="1"/>
  <c r="G41" i="1" s="1"/>
  <c r="G40" i="1" s="1"/>
  <c r="G39" i="1" s="1"/>
  <c r="G38" i="1" s="1"/>
  <c r="G37" i="1" s="1"/>
  <c r="G36" i="1" s="1"/>
  <c r="G35" i="1" s="1"/>
  <c r="G34" i="1" s="1"/>
  <c r="G33" i="1" s="1"/>
  <c r="I30" i="1"/>
  <c r="J30" i="1" s="1"/>
  <c r="AB20" i="1" s="1"/>
  <c r="G28" i="1"/>
  <c r="G27" i="1"/>
  <c r="G26" i="1"/>
  <c r="G25" i="1" s="1"/>
  <c r="G24" i="1" s="1"/>
  <c r="G23" i="1" s="1"/>
  <c r="G22" i="1" s="1"/>
  <c r="G21" i="1" s="1"/>
  <c r="G20" i="1" s="1"/>
  <c r="G19" i="1" s="1"/>
  <c r="Z25" i="1"/>
  <c r="Z26" i="1" s="1"/>
  <c r="AA20" i="1"/>
  <c r="Z20" i="1"/>
  <c r="I16" i="1"/>
  <c r="J16" i="1" s="1"/>
  <c r="K16" i="1" s="1"/>
  <c r="U14" i="1"/>
  <c r="U43" i="1" s="1"/>
  <c r="U71" i="1" s="1"/>
  <c r="T14" i="1"/>
  <c r="T43" i="1" s="1"/>
  <c r="T71" i="1" s="1"/>
  <c r="S14" i="1"/>
  <c r="R14" i="1"/>
  <c r="R43" i="1" s="1"/>
  <c r="R71" i="1" s="1"/>
  <c r="Q14" i="1"/>
  <c r="Q43" i="1" s="1"/>
  <c r="G14" i="1"/>
  <c r="U13" i="1"/>
  <c r="T13" i="1"/>
  <c r="T42" i="1" s="1"/>
  <c r="S13" i="1"/>
  <c r="S42" i="1" s="1"/>
  <c r="R13" i="1"/>
  <c r="R42" i="1" s="1"/>
  <c r="Q13" i="1"/>
  <c r="Q42" i="1" s="1"/>
  <c r="P13" i="1"/>
  <c r="P42" i="1" s="1"/>
  <c r="AH9" i="1" s="1"/>
  <c r="G13" i="1"/>
  <c r="G12" i="1" s="1"/>
  <c r="Z12" i="1"/>
  <c r="Z13" i="1" s="1"/>
  <c r="U12" i="1"/>
  <c r="T12" i="1"/>
  <c r="S12" i="1"/>
  <c r="R12" i="1"/>
  <c r="Q12" i="1"/>
  <c r="P12" i="1"/>
  <c r="O12" i="1"/>
  <c r="O41" i="1" s="1"/>
  <c r="U11" i="1"/>
  <c r="T11" i="1"/>
  <c r="S11" i="1"/>
  <c r="R11" i="1"/>
  <c r="Q11" i="1"/>
  <c r="P11" i="1"/>
  <c r="O11" i="1"/>
  <c r="O40" i="1" s="1"/>
  <c r="N11" i="1"/>
  <c r="N40" i="1" s="1"/>
  <c r="AN10" i="1"/>
  <c r="AM10" i="1"/>
  <c r="AL10" i="1"/>
  <c r="AJ10" i="1"/>
  <c r="AI10" i="1"/>
  <c r="AB10" i="1"/>
  <c r="AA10" i="1"/>
  <c r="Z10" i="1"/>
  <c r="U10" i="1"/>
  <c r="T10" i="1"/>
  <c r="S10" i="1"/>
  <c r="R10" i="1"/>
  <c r="Q10" i="1"/>
  <c r="P10" i="1"/>
  <c r="O10" i="1"/>
  <c r="N10" i="1"/>
  <c r="M10" i="1"/>
  <c r="U9" i="1"/>
  <c r="T9" i="1"/>
  <c r="S9" i="1"/>
  <c r="R9" i="1"/>
  <c r="Q9" i="1"/>
  <c r="P9" i="1"/>
  <c r="O9" i="1"/>
  <c r="N9" i="1"/>
  <c r="M9" i="1"/>
  <c r="L9" i="1"/>
  <c r="L38" i="1" s="1"/>
  <c r="AD9" i="1" s="1"/>
  <c r="K9" i="1"/>
  <c r="J9" i="1"/>
  <c r="J38" i="1" s="1"/>
  <c r="J66" i="1" s="1"/>
  <c r="I9" i="1"/>
  <c r="H9" i="1"/>
  <c r="AN8" i="1"/>
  <c r="AM8" i="1"/>
  <c r="AL8" i="1"/>
  <c r="AK8" i="1"/>
  <c r="AJ8" i="1"/>
  <c r="AI8" i="1"/>
  <c r="AH8" i="1"/>
  <c r="AG8" i="1"/>
  <c r="U8" i="1"/>
  <c r="T8" i="1"/>
  <c r="S8" i="1"/>
  <c r="R8" i="1"/>
  <c r="Q8" i="1"/>
  <c r="P8" i="1"/>
  <c r="O8" i="1"/>
  <c r="N8" i="1"/>
  <c r="M8" i="1"/>
  <c r="L8" i="1"/>
  <c r="L37" i="1" s="1"/>
  <c r="K8" i="1"/>
  <c r="J8" i="1"/>
  <c r="J37" i="1" s="1"/>
  <c r="I8" i="1"/>
  <c r="H8" i="1"/>
  <c r="AB7" i="1"/>
  <c r="AA7" i="1"/>
  <c r="Z7" i="1"/>
  <c r="U7" i="1"/>
  <c r="T7" i="1"/>
  <c r="S7" i="1"/>
  <c r="R7" i="1"/>
  <c r="Q7" i="1"/>
  <c r="P7" i="1"/>
  <c r="O7" i="1"/>
  <c r="N7" i="1"/>
  <c r="M7" i="1"/>
  <c r="L7" i="1"/>
  <c r="K7" i="1"/>
  <c r="J7" i="1"/>
  <c r="I7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U6" i="1"/>
  <c r="T6" i="1"/>
  <c r="S6" i="1"/>
  <c r="R6" i="1"/>
  <c r="Q6" i="1"/>
  <c r="P6" i="1"/>
  <c r="O6" i="1"/>
  <c r="N6" i="1"/>
  <c r="M6" i="1"/>
  <c r="L6" i="1"/>
  <c r="K6" i="1"/>
  <c r="J6" i="1"/>
  <c r="I6" i="1"/>
  <c r="T54" i="1" l="1"/>
  <c r="P37" i="1"/>
  <c r="R39" i="1"/>
  <c r="R48" i="1"/>
  <c r="T37" i="1"/>
  <c r="O51" i="1"/>
  <c r="J48" i="1"/>
  <c r="AL9" i="1"/>
  <c r="AL11" i="1" s="1"/>
  <c r="P38" i="1"/>
  <c r="Q40" i="1"/>
  <c r="T36" i="1"/>
  <c r="L36" i="1"/>
  <c r="J49" i="1"/>
  <c r="R49" i="1"/>
  <c r="I50" i="1"/>
  <c r="AB9" i="1"/>
  <c r="AB11" i="1" s="1"/>
  <c r="Q37" i="1"/>
  <c r="K48" i="1"/>
  <c r="N50" i="1"/>
  <c r="U37" i="1"/>
  <c r="N35" i="1"/>
  <c r="T38" i="1"/>
  <c r="P36" i="1"/>
  <c r="S40" i="1"/>
  <c r="N36" i="1"/>
  <c r="J51" i="1"/>
  <c r="J65" i="1" s="1"/>
  <c r="R51" i="1"/>
  <c r="U40" i="1"/>
  <c r="N37" i="1"/>
  <c r="I51" i="1"/>
  <c r="M35" i="1"/>
  <c r="U35" i="1"/>
  <c r="J36" i="1"/>
  <c r="R36" i="1"/>
  <c r="R38" i="1"/>
  <c r="R37" i="1"/>
  <c r="Q52" i="1"/>
  <c r="Q53" i="1"/>
  <c r="T56" i="1"/>
  <c r="T70" i="1" s="1"/>
  <c r="L50" i="1"/>
  <c r="T50" i="1"/>
  <c r="N51" i="1"/>
  <c r="U38" i="1"/>
  <c r="U36" i="1"/>
  <c r="T48" i="1"/>
  <c r="P49" i="1"/>
  <c r="R40" i="1"/>
  <c r="U41" i="1"/>
  <c r="L48" i="1"/>
  <c r="L35" i="1"/>
  <c r="T35" i="1"/>
  <c r="AJ9" i="1"/>
  <c r="AJ11" i="1" s="1"/>
  <c r="Q35" i="1"/>
  <c r="T39" i="1"/>
  <c r="J50" i="1"/>
  <c r="R50" i="1"/>
  <c r="L51" i="1"/>
  <c r="T51" i="1"/>
  <c r="S41" i="1"/>
  <c r="S52" i="1"/>
  <c r="P48" i="1"/>
  <c r="L49" i="1"/>
  <c r="T49" i="1"/>
  <c r="O52" i="1"/>
  <c r="AJ21" i="1"/>
  <c r="AB21" i="1"/>
  <c r="AH21" i="1"/>
  <c r="Z21" i="1"/>
  <c r="AN21" i="1"/>
  <c r="AF21" i="1"/>
  <c r="AG21" i="1"/>
  <c r="AE21" i="1"/>
  <c r="AD21" i="1"/>
  <c r="AC21" i="1"/>
  <c r="AM21" i="1"/>
  <c r="AA21" i="1"/>
  <c r="AL21" i="1"/>
  <c r="AI21" i="1"/>
  <c r="AK21" i="1"/>
  <c r="L16" i="1"/>
  <c r="AC7" i="1"/>
  <c r="AF9" i="1"/>
  <c r="AG9" i="1"/>
  <c r="G11" i="1"/>
  <c r="AF8" i="1"/>
  <c r="AI9" i="1"/>
  <c r="AI11" i="1" s="1"/>
  <c r="Q71" i="1"/>
  <c r="H7" i="1"/>
  <c r="Q54" i="1"/>
  <c r="O54" i="1"/>
  <c r="O68" i="1" s="1"/>
  <c r="P41" i="1"/>
  <c r="S35" i="1"/>
  <c r="S36" i="1"/>
  <c r="S37" i="1"/>
  <c r="S38" i="1"/>
  <c r="P54" i="1"/>
  <c r="Q36" i="1"/>
  <c r="R52" i="1"/>
  <c r="Q39" i="1"/>
  <c r="P40" i="1"/>
  <c r="K49" i="1"/>
  <c r="K50" i="1"/>
  <c r="K51" i="1"/>
  <c r="R54" i="1"/>
  <c r="Q56" i="1"/>
  <c r="Q70" i="1" s="1"/>
  <c r="AM9" i="1"/>
  <c r="AM11" i="1" s="1"/>
  <c r="O53" i="1"/>
  <c r="M53" i="1"/>
  <c r="AE10" i="1" s="1"/>
  <c r="S54" i="1"/>
  <c r="R41" i="1"/>
  <c r="M48" i="1"/>
  <c r="M49" i="1"/>
  <c r="M50" i="1"/>
  <c r="M51" i="1"/>
  <c r="N53" i="1"/>
  <c r="S56" i="1"/>
  <c r="S70" i="1" s="1"/>
  <c r="N54" i="1"/>
  <c r="AF10" i="1" s="1"/>
  <c r="J35" i="1"/>
  <c r="R35" i="1"/>
  <c r="L65" i="1"/>
  <c r="T52" i="1"/>
  <c r="S39" i="1"/>
  <c r="I35" i="1"/>
  <c r="I36" i="1"/>
  <c r="I37" i="1"/>
  <c r="I38" i="1"/>
  <c r="N39" i="1"/>
  <c r="T40" i="1"/>
  <c r="O48" i="1"/>
  <c r="O49" i="1"/>
  <c r="O50" i="1"/>
  <c r="P53" i="1"/>
  <c r="H50" i="1"/>
  <c r="H37" i="1"/>
  <c r="P35" i="1"/>
  <c r="N38" i="1"/>
  <c r="T41" i="1"/>
  <c r="R55" i="1"/>
  <c r="P55" i="1"/>
  <c r="K30" i="1"/>
  <c r="K35" i="1"/>
  <c r="K36" i="1"/>
  <c r="K37" i="1"/>
  <c r="K38" i="1"/>
  <c r="P39" i="1"/>
  <c r="U42" i="1"/>
  <c r="Q48" i="1"/>
  <c r="Q49" i="1"/>
  <c r="Q50" i="1"/>
  <c r="Q51" i="1"/>
  <c r="M52" i="1"/>
  <c r="R53" i="1"/>
  <c r="O55" i="1"/>
  <c r="AG10" i="1" s="1"/>
  <c r="Q38" i="1"/>
  <c r="N49" i="1"/>
  <c r="P51" i="1"/>
  <c r="N52" i="1"/>
  <c r="M39" i="1"/>
  <c r="L52" i="1"/>
  <c r="AD10" i="1" s="1"/>
  <c r="AD11" i="1" s="1"/>
  <c r="U39" i="1"/>
  <c r="M36" i="1"/>
  <c r="M37" i="1"/>
  <c r="M38" i="1"/>
  <c r="S48" i="1"/>
  <c r="S49" i="1"/>
  <c r="S50" i="1"/>
  <c r="S51" i="1"/>
  <c r="T53" i="1"/>
  <c r="Q55" i="1"/>
  <c r="P52" i="1"/>
  <c r="O39" i="1"/>
  <c r="N48" i="1"/>
  <c r="P50" i="1"/>
  <c r="H51" i="1"/>
  <c r="H38" i="1"/>
  <c r="S53" i="1"/>
  <c r="T55" i="1"/>
  <c r="R56" i="1"/>
  <c r="R70" i="1" s="1"/>
  <c r="P56" i="1"/>
  <c r="AH10" i="1" s="1"/>
  <c r="AH11" i="1" s="1"/>
  <c r="O35" i="1"/>
  <c r="O36" i="1"/>
  <c r="O37" i="1"/>
  <c r="O38" i="1"/>
  <c r="Q41" i="1"/>
  <c r="S43" i="1"/>
  <c r="S55" i="1"/>
  <c r="T68" i="1" l="1"/>
  <c r="R67" i="1"/>
  <c r="J63" i="1"/>
  <c r="I64" i="1"/>
  <c r="T65" i="1"/>
  <c r="P66" i="1"/>
  <c r="P65" i="1"/>
  <c r="Q68" i="1"/>
  <c r="R63" i="1"/>
  <c r="O65" i="1"/>
  <c r="T64" i="1"/>
  <c r="Q65" i="1"/>
  <c r="N63" i="1"/>
  <c r="Q66" i="1"/>
  <c r="L64" i="1"/>
  <c r="P64" i="1"/>
  <c r="T66" i="1"/>
  <c r="N64" i="1"/>
  <c r="R65" i="1"/>
  <c r="R66" i="1"/>
  <c r="S68" i="1"/>
  <c r="S69" i="1"/>
  <c r="M65" i="1"/>
  <c r="O67" i="1"/>
  <c r="M66" i="1"/>
  <c r="Q67" i="1"/>
  <c r="P63" i="1"/>
  <c r="N65" i="1"/>
  <c r="O63" i="1"/>
  <c r="K63" i="1"/>
  <c r="Q63" i="1"/>
  <c r="I65" i="1"/>
  <c r="T67" i="1"/>
  <c r="M63" i="1"/>
  <c r="L63" i="1"/>
  <c r="R68" i="1"/>
  <c r="M64" i="1"/>
  <c r="T63" i="1"/>
  <c r="S66" i="1"/>
  <c r="J64" i="1"/>
  <c r="P67" i="1"/>
  <c r="O64" i="1"/>
  <c r="P68" i="1"/>
  <c r="R64" i="1"/>
  <c r="K64" i="1"/>
  <c r="O66" i="1"/>
  <c r="T69" i="1"/>
  <c r="H66" i="1"/>
  <c r="Z9" i="1"/>
  <c r="Z11" i="1" s="1"/>
  <c r="K66" i="1"/>
  <c r="AC9" i="1"/>
  <c r="AC11" i="1" s="1"/>
  <c r="P69" i="1"/>
  <c r="K65" i="1"/>
  <c r="N66" i="1"/>
  <c r="G10" i="1"/>
  <c r="AE8" i="1"/>
  <c r="M67" i="1"/>
  <c r="AE9" i="1"/>
  <c r="AE11" i="1" s="1"/>
  <c r="P70" i="1"/>
  <c r="L66" i="1"/>
  <c r="S65" i="1"/>
  <c r="O69" i="1"/>
  <c r="AA9" i="1"/>
  <c r="AA11" i="1" s="1"/>
  <c r="I66" i="1"/>
  <c r="M16" i="1"/>
  <c r="AD7" i="1"/>
  <c r="L30" i="1"/>
  <c r="AC20" i="1"/>
  <c r="S64" i="1"/>
  <c r="AG11" i="1"/>
  <c r="S71" i="1"/>
  <c r="AK9" i="1"/>
  <c r="AK11" i="1" s="1"/>
  <c r="S67" i="1"/>
  <c r="R69" i="1"/>
  <c r="S63" i="1"/>
  <c r="AF11" i="1"/>
  <c r="Q69" i="1"/>
  <c r="H65" i="1"/>
  <c r="N67" i="1"/>
  <c r="Q64" i="1"/>
  <c r="H49" i="1"/>
  <c r="H36" i="1"/>
  <c r="H64" i="1" s="1"/>
  <c r="H6" i="1"/>
  <c r="I49" i="1"/>
  <c r="I63" i="1" s="1"/>
  <c r="N68" i="1"/>
  <c r="H48" i="1" l="1"/>
  <c r="H35" i="1"/>
  <c r="H63" i="1" s="1"/>
  <c r="I48" i="1"/>
  <c r="H5" i="1"/>
  <c r="M30" i="1"/>
  <c r="AD20" i="1"/>
  <c r="N16" i="1"/>
  <c r="AE7" i="1"/>
  <c r="AA12" i="1"/>
  <c r="Z8" i="1"/>
  <c r="G9" i="1"/>
  <c r="G8" i="1" s="1"/>
  <c r="G7" i="1" s="1"/>
  <c r="G6" i="1" s="1"/>
  <c r="G5" i="1" s="1"/>
  <c r="B6" i="1" s="1"/>
  <c r="V14" i="1" s="1"/>
  <c r="AC8" i="1"/>
  <c r="AD8" i="1"/>
  <c r="AB8" i="1"/>
  <c r="AA8" i="1"/>
  <c r="AF7" i="1" l="1"/>
  <c r="O16" i="1"/>
  <c r="N30" i="1"/>
  <c r="AE20" i="1"/>
  <c r="H47" i="1"/>
  <c r="Z23" i="1" s="1"/>
  <c r="H34" i="1"/>
  <c r="H33" i="1"/>
  <c r="H61" i="1" s="1"/>
  <c r="Z19" i="1"/>
  <c r="I5" i="1"/>
  <c r="V43" i="1"/>
  <c r="V13" i="1"/>
  <c r="U56" i="1"/>
  <c r="U70" i="1" s="1"/>
  <c r="V56" i="1"/>
  <c r="AB12" i="1"/>
  <c r="AA13" i="1"/>
  <c r="H62" i="1" l="1"/>
  <c r="Z22" i="1"/>
  <c r="Z24" i="1" s="1"/>
  <c r="AF20" i="1"/>
  <c r="O30" i="1"/>
  <c r="P16" i="1"/>
  <c r="AG7" i="1"/>
  <c r="AB13" i="1"/>
  <c r="AC12" i="1"/>
  <c r="V42" i="1"/>
  <c r="V70" i="1" s="1"/>
  <c r="V12" i="1"/>
  <c r="V55" i="1"/>
  <c r="U55" i="1"/>
  <c r="U69" i="1" s="1"/>
  <c r="V71" i="1"/>
  <c r="AN9" i="1"/>
  <c r="AN11" i="1" s="1"/>
  <c r="J5" i="1"/>
  <c r="AA19" i="1"/>
  <c r="I34" i="1"/>
  <c r="I33" i="1"/>
  <c r="AH7" i="1" l="1"/>
  <c r="Q16" i="1"/>
  <c r="AC13" i="1"/>
  <c r="AD12" i="1"/>
  <c r="P30" i="1"/>
  <c r="AG20" i="1"/>
  <c r="J34" i="1"/>
  <c r="J33" i="1"/>
  <c r="AB19" i="1"/>
  <c r="K5" i="1"/>
  <c r="V41" i="1"/>
  <c r="V69" i="1" s="1"/>
  <c r="V54" i="1"/>
  <c r="V11" i="1"/>
  <c r="U54" i="1"/>
  <c r="U68" i="1" s="1"/>
  <c r="AA22" i="1"/>
  <c r="I62" i="1"/>
  <c r="AH20" i="1" l="1"/>
  <c r="Q30" i="1"/>
  <c r="AB22" i="1"/>
  <c r="J62" i="1"/>
  <c r="V10" i="1"/>
  <c r="V53" i="1"/>
  <c r="V40" i="1"/>
  <c r="V68" i="1" s="1"/>
  <c r="U53" i="1"/>
  <c r="U67" i="1" s="1"/>
  <c r="AD13" i="1"/>
  <c r="AE12" i="1"/>
  <c r="R16" i="1"/>
  <c r="AI7" i="1"/>
  <c r="AC19" i="1"/>
  <c r="K34" i="1"/>
  <c r="K33" i="1"/>
  <c r="L5" i="1"/>
  <c r="I47" i="1"/>
  <c r="V9" i="1" l="1"/>
  <c r="V39" i="1"/>
  <c r="V67" i="1" s="1"/>
  <c r="V52" i="1"/>
  <c r="U52" i="1"/>
  <c r="U66" i="1" s="1"/>
  <c r="AC22" i="1"/>
  <c r="K62" i="1"/>
  <c r="L34" i="1"/>
  <c r="L33" i="1"/>
  <c r="M5" i="1"/>
  <c r="AD19" i="1"/>
  <c r="J47" i="1"/>
  <c r="AF12" i="1"/>
  <c r="AE13" i="1"/>
  <c r="R30" i="1"/>
  <c r="AI20" i="1"/>
  <c r="S16" i="1"/>
  <c r="AJ7" i="1"/>
  <c r="AA23" i="1"/>
  <c r="AA24" i="1" s="1"/>
  <c r="AA25" i="1" s="1"/>
  <c r="I61" i="1"/>
  <c r="AF13" i="1" l="1"/>
  <c r="AG12" i="1"/>
  <c r="T16" i="1"/>
  <c r="AK7" i="1"/>
  <c r="AB23" i="1"/>
  <c r="AB24" i="1" s="1"/>
  <c r="AB25" i="1" s="1"/>
  <c r="J61" i="1"/>
  <c r="AA26" i="1"/>
  <c r="N5" i="1"/>
  <c r="M34" i="1"/>
  <c r="M33" i="1"/>
  <c r="AE19" i="1"/>
  <c r="K47" i="1"/>
  <c r="AJ20" i="1"/>
  <c r="S30" i="1"/>
  <c r="L62" i="1"/>
  <c r="AD22" i="1"/>
  <c r="V38" i="1"/>
  <c r="V66" i="1" s="1"/>
  <c r="V8" i="1"/>
  <c r="V51" i="1"/>
  <c r="U51" i="1"/>
  <c r="U65" i="1" s="1"/>
  <c r="AB26" i="1" l="1"/>
  <c r="V37" i="1"/>
  <c r="V65" i="1" s="1"/>
  <c r="V7" i="1"/>
  <c r="V50" i="1"/>
  <c r="U50" i="1"/>
  <c r="U64" i="1" s="1"/>
  <c r="AC23" i="1"/>
  <c r="AC24" i="1" s="1"/>
  <c r="AC25" i="1" s="1"/>
  <c r="K61" i="1"/>
  <c r="U16" i="1"/>
  <c r="AL7" i="1"/>
  <c r="N34" i="1"/>
  <c r="N33" i="1"/>
  <c r="AF19" i="1"/>
  <c r="O5" i="1"/>
  <c r="L47" i="1"/>
  <c r="M62" i="1"/>
  <c r="AE22" i="1"/>
  <c r="AG13" i="1"/>
  <c r="AH12" i="1"/>
  <c r="T30" i="1"/>
  <c r="AK20" i="1"/>
  <c r="AC26" i="1" l="1"/>
  <c r="AL20" i="1"/>
  <c r="U30" i="1"/>
  <c r="AI12" i="1"/>
  <c r="AH13" i="1"/>
  <c r="V36" i="1"/>
  <c r="V64" i="1" s="1"/>
  <c r="V6" i="1"/>
  <c r="V49" i="1"/>
  <c r="U49" i="1"/>
  <c r="U63" i="1" s="1"/>
  <c r="N62" i="1"/>
  <c r="AF22" i="1"/>
  <c r="AD23" i="1"/>
  <c r="AD24" i="1" s="1"/>
  <c r="AD25" i="1" s="1"/>
  <c r="L61" i="1"/>
  <c r="V16" i="1"/>
  <c r="AN7" i="1" s="1"/>
  <c r="AM7" i="1"/>
  <c r="O34" i="1"/>
  <c r="O33" i="1"/>
  <c r="AG19" i="1"/>
  <c r="P5" i="1"/>
  <c r="M47" i="1"/>
  <c r="AD26" i="1" l="1"/>
  <c r="AE23" i="1"/>
  <c r="AE24" i="1" s="1"/>
  <c r="AE25" i="1" s="1"/>
  <c r="M61" i="1"/>
  <c r="AJ12" i="1"/>
  <c r="AI13" i="1"/>
  <c r="V30" i="1"/>
  <c r="AN20" i="1" s="1"/>
  <c r="AM20" i="1"/>
  <c r="O62" i="1"/>
  <c r="AG22" i="1"/>
  <c r="P34" i="1"/>
  <c r="P33" i="1"/>
  <c r="AH19" i="1"/>
  <c r="Q5" i="1"/>
  <c r="N47" i="1"/>
  <c r="V35" i="1"/>
  <c r="V63" i="1" s="1"/>
  <c r="U48" i="1"/>
  <c r="V48" i="1"/>
  <c r="AE26" i="1" l="1"/>
  <c r="P62" i="1"/>
  <c r="AH22" i="1"/>
  <c r="AK12" i="1"/>
  <c r="AJ13" i="1"/>
  <c r="AF23" i="1"/>
  <c r="AF24" i="1" s="1"/>
  <c r="AF25" i="1" s="1"/>
  <c r="N61" i="1"/>
  <c r="R5" i="1"/>
  <c r="Q33" i="1"/>
  <c r="AI19" i="1"/>
  <c r="Q34" i="1"/>
  <c r="O47" i="1"/>
  <c r="AF26" i="1" l="1"/>
  <c r="Q62" i="1"/>
  <c r="AI22" i="1"/>
  <c r="AK13" i="1"/>
  <c r="AL12" i="1"/>
  <c r="R34" i="1"/>
  <c r="R33" i="1"/>
  <c r="AJ19" i="1"/>
  <c r="S5" i="1"/>
  <c r="P47" i="1"/>
  <c r="AG23" i="1"/>
  <c r="AG24" i="1" s="1"/>
  <c r="AG25" i="1" s="1"/>
  <c r="O61" i="1"/>
  <c r="AG26" i="1" l="1"/>
  <c r="AH23" i="1"/>
  <c r="AH24" i="1" s="1"/>
  <c r="AH25" i="1" s="1"/>
  <c r="P61" i="1"/>
  <c r="T5" i="1"/>
  <c r="AK19" i="1"/>
  <c r="S34" i="1"/>
  <c r="S33" i="1"/>
  <c r="Q47" i="1"/>
  <c r="AJ22" i="1"/>
  <c r="R62" i="1"/>
  <c r="AL13" i="1"/>
  <c r="AM12" i="1"/>
  <c r="AH26" i="1" l="1"/>
  <c r="AK22" i="1"/>
  <c r="S62" i="1"/>
  <c r="AN12" i="1"/>
  <c r="AN13" i="1" s="1"/>
  <c r="AM13" i="1"/>
  <c r="T34" i="1"/>
  <c r="T33" i="1"/>
  <c r="U5" i="1"/>
  <c r="AL19" i="1"/>
  <c r="R47" i="1"/>
  <c r="AI23" i="1"/>
  <c r="AI24" i="1" s="1"/>
  <c r="AI25" i="1" s="1"/>
  <c r="Q61" i="1"/>
  <c r="AI26" i="1" l="1"/>
  <c r="AJ23" i="1"/>
  <c r="AJ24" i="1" s="1"/>
  <c r="AJ25" i="1" s="1"/>
  <c r="R61" i="1"/>
  <c r="V5" i="1"/>
  <c r="U47" i="1" s="1"/>
  <c r="AM23" i="1" s="1"/>
  <c r="AM19" i="1"/>
  <c r="U34" i="1"/>
  <c r="U33" i="1"/>
  <c r="S47" i="1"/>
  <c r="T62" i="1"/>
  <c r="AL22" i="1"/>
  <c r="AJ26" i="1" l="1"/>
  <c r="V47" i="1"/>
  <c r="AN23" i="1" s="1"/>
  <c r="V34" i="1"/>
  <c r="V33" i="1"/>
  <c r="V61" i="1" s="1"/>
  <c r="AN19" i="1"/>
  <c r="T47" i="1"/>
  <c r="AK23" i="1"/>
  <c r="AK24" i="1" s="1"/>
  <c r="AK25" i="1" s="1"/>
  <c r="S61" i="1"/>
  <c r="U61" i="1"/>
  <c r="AM22" i="1"/>
  <c r="AM24" i="1" s="1"/>
  <c r="U62" i="1"/>
  <c r="AK26" i="1" l="1"/>
  <c r="AL23" i="1"/>
  <c r="AL24" i="1" s="1"/>
  <c r="AL25" i="1" s="1"/>
  <c r="T61" i="1"/>
  <c r="V62" i="1"/>
  <c r="AN22" i="1"/>
  <c r="AN24" i="1" s="1"/>
  <c r="AL26" i="1" l="1"/>
  <c r="AM25" i="1"/>
  <c r="AN25" i="1" l="1"/>
  <c r="AN26" i="1" s="1"/>
  <c r="AM26" i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<sst xmlns="http://schemas.openxmlformats.org/spreadsheetml/2006/main" count="30" uniqueCount="18">
  <si>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</si>
  <si>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</si>
  <si>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</si>
  <si>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ψ</t>
  </si>
  <si>
    <t>V_out</t>
  </si>
  <si>
    <t>x</t>
  </si>
  <si>
    <t>n_iter</t>
  </si>
  <si>
    <t>y</t>
  </si>
  <si>
    <t>U</t>
  </si>
  <si>
    <t>N_L</t>
  </si>
  <si>
    <t>V</t>
  </si>
  <si>
    <t>N_H</t>
  </si>
  <si>
    <t>Vel</t>
  </si>
  <si>
    <t>start_Row</t>
  </si>
  <si>
    <t>p</t>
  </si>
  <si>
    <t>start_Column</t>
  </si>
  <si>
    <t>Cp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</si>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</sst>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₽_-;\-* #,##0.00\ _₽_-;_-* &quot;-&quot;??\ _₽_-;_-@_-"/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1" applyNumberFormat="1" applyFont="1"/>
    <xf numFmtId="0" fontId="0" fillId="2" borderId="1" xfId="0" applyFill="1" applyBorder="1"/>
    <xf numFmtId="0" fontId="0" fillId="0" borderId="1" xfId="0" applyBorder="1"/>
    <xf numFmtId="0" fontId="0" fillId="0" borderId="0" xfId="0" applyFill="1"/>
    <xf numFmtId="2" fontId="0" fillId="0" borderId="0" xfId="1" applyNumberFormat="1" applyFont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Border="1"/>
    <xf numFmtId="2" fontId="0" fillId="3" borderId="1" xfId="1" applyNumberFormat="1" applyFont="1" applyFill="1" applyBorder="1" applyAlignment="1">
      <alignment horizontal="center"/>
    </xf>
    <xf numFmtId="2" fontId="0" fillId="4" borderId="2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" fontId="0" fillId="0" borderId="1" xfId="0" applyNumberFormat="1" applyBorder="1"/>
    <xf numFmtId="2" fontId="0" fillId="5" borderId="1" xfId="1" applyNumberFormat="1" applyFont="1" applyFill="1" applyBorder="1" applyAlignment="1">
      <alignment horizontal="center"/>
    </xf>
    <xf numFmtId="2" fontId="2" fillId="2" borderId="1" xfId="0" applyNumberFormat="1" applyFont="1" applyFill="1" applyBorder="1"/>
    <xf numFmtId="2" fontId="0" fillId="0" borderId="1" xfId="0" applyNumberFormat="1" applyBorder="1" applyAlignment="1">
      <alignment horizontal="center"/>
    </xf>
    <xf numFmtId="2" fontId="0" fillId="2" borderId="1" xfId="0" applyNumberFormat="1" applyFill="1" applyBorder="1"/>
    <xf numFmtId="165" fontId="0" fillId="0" borderId="1" xfId="0" applyNumberFormat="1" applyBorder="1" applyAlignment="1">
      <alignment horizontal="center"/>
    </xf>
    <xf numFmtId="0" fontId="2" fillId="2" borderId="1" xfId="0" applyFont="1" applyFill="1" applyBorder="1"/>
    <xf numFmtId="2" fontId="0" fillId="4" borderId="3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6" borderId="2" xfId="1" applyNumberFormat="1" applyFont="1" applyFill="1" applyBorder="1" applyAlignment="1">
      <alignment horizontal="center"/>
    </xf>
    <xf numFmtId="2" fontId="0" fillId="6" borderId="1" xfId="1" applyNumberFormat="1" applyFont="1" applyFill="1" applyBorder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6" borderId="3" xfId="1" applyNumberFormat="1" applyFont="1" applyFill="1" applyBorder="1" applyAlignment="1">
      <alignment horizontal="center"/>
    </xf>
    <xf numFmtId="0" fontId="0" fillId="0" borderId="0" xfId="0" applyBorder="1"/>
    <xf numFmtId="0" fontId="0" fillId="2" borderId="0" xfId="0" applyFill="1"/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6" borderId="4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3" borderId="6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7002688"/>
        <c:axId val="2116992896"/>
      </c:lineChart>
      <c:catAx>
        <c:axId val="211700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6992896"/>
        <c:crosses val="autoZero"/>
        <c:auto val="1"/>
        <c:lblAlgn val="ctr"/>
        <c:lblOffset val="100"/>
        <c:tickMarkSkip val="1"/>
        <c:noMultiLvlLbl val="0"/>
      </c:catAx>
      <c:valAx>
        <c:axId val="2116992896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700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15"/>
          <c:y val="0.9060749579938554"/>
          <c:w val="0.48989135584230326"/>
          <c:h val="9.3925042006144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19240</xdr:colOff>
      <xdr:row>27</xdr:row>
      <xdr:rowOff>21209</xdr:rowOff>
    </xdr:from>
    <xdr:to>
      <xdr:col>34</xdr:col>
      <xdr:colOff>622390</xdr:colOff>
      <xdr:row>51</xdr:row>
      <xdr:rowOff>163333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6A824009-BFD5-4111-83D5-3AD7A9D184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KR_4_Naumo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7">
          <cell r="Z7">
            <v>0</v>
          </cell>
          <cell r="AA7">
            <v>0.2</v>
          </cell>
          <cell r="AB7">
            <v>0.4</v>
          </cell>
          <cell r="AC7">
            <v>0.60000000000000009</v>
          </cell>
          <cell r="AD7">
            <v>0.8</v>
          </cell>
          <cell r="AE7">
            <v>1</v>
          </cell>
          <cell r="AF7">
            <v>1.2</v>
          </cell>
          <cell r="AG7">
            <v>1.4</v>
          </cell>
          <cell r="AH7">
            <v>1.5999999999999999</v>
          </cell>
          <cell r="AI7">
            <v>1.7999999999999998</v>
          </cell>
          <cell r="AJ7">
            <v>1.9999999999999998</v>
          </cell>
          <cell r="AK7">
            <v>2.1999999999999997</v>
          </cell>
          <cell r="AL7">
            <v>2.4</v>
          </cell>
          <cell r="AM7">
            <v>2.6</v>
          </cell>
          <cell r="AN7">
            <v>2.8000000000000003</v>
          </cell>
        </row>
        <row r="13">
          <cell r="Z13">
            <v>0</v>
          </cell>
          <cell r="AA13">
            <v>-3.5737079020473177E-2</v>
          </cell>
          <cell r="AB13">
            <v>-9.1033933974686079E-2</v>
          </cell>
          <cell r="AC13">
            <v>-0.2035709116628277</v>
          </cell>
          <cell r="AD13">
            <v>-0.59334649819327756</v>
          </cell>
          <cell r="AE13">
            <v>0.30864062859240221</v>
          </cell>
          <cell r="AF13">
            <v>0.58970058153616267</v>
          </cell>
          <cell r="AG13">
            <v>0.74184416975447676</v>
          </cell>
          <cell r="AH13">
            <v>0.85363227440131595</v>
          </cell>
          <cell r="AI13">
            <v>0.95233497416862523</v>
          </cell>
          <cell r="AJ13">
            <v>0.89241445434308841</v>
          </cell>
          <cell r="AK13">
            <v>0.84549092596193076</v>
          </cell>
          <cell r="AL13">
            <v>0.80891511394293047</v>
          </cell>
          <cell r="AM13">
            <v>0.77836961084074574</v>
          </cell>
          <cell r="AN13">
            <v>0.75</v>
          </cell>
        </row>
        <row r="26">
          <cell r="Z26">
            <v>0</v>
          </cell>
          <cell r="AA26">
            <v>2.4108136022405233E-2</v>
          </cell>
          <cell r="AB26">
            <v>5.5728646165225652E-2</v>
          </cell>
          <cell r="AC26">
            <v>0.10328886155359214</v>
          </cell>
          <cell r="AD26">
            <v>0.17458629583969013</v>
          </cell>
          <cell r="AE26">
            <v>0.26984679915651211</v>
          </cell>
          <cell r="AF26">
            <v>0.36882009155000561</v>
          </cell>
          <cell r="AG26">
            <v>0.45761027225758882</v>
          </cell>
          <cell r="AH26">
            <v>0.53132455406856027</v>
          </cell>
          <cell r="AI26">
            <v>0.59021007570991058</v>
          </cell>
          <cell r="AJ26">
            <v>0.63657198086788414</v>
          </cell>
          <cell r="AK26">
            <v>0.67321666368283328</v>
          </cell>
          <cell r="AL26">
            <v>0.70282177970424531</v>
          </cell>
          <cell r="AM26">
            <v>0.72774338810180783</v>
          </cell>
          <cell r="AN26">
            <v>0.75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topLeftCell="K1" workbookViewId="0">
      <selection activeCell="M23" sqref="M23:M24"/>
    </sheetView>
  </sheetViews>
  <sheetFormatPr defaultRowHeight="15" x14ac:dyDescent="0.25"/>
  <sheetData>
    <row r="1" spans="1:40" x14ac:dyDescent="0.25"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40" x14ac:dyDescent="0.25">
      <c r="A2" s="2" t="s">
        <v>0</v>
      </c>
      <c r="B2" s="3">
        <v>0.2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40" x14ac:dyDescent="0.25">
      <c r="A3" s="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40" x14ac:dyDescent="0.25">
      <c r="A4" s="2" t="s">
        <v>1</v>
      </c>
      <c r="B4" s="3">
        <v>10</v>
      </c>
      <c r="G4" s="5"/>
      <c r="H4" s="6">
        <v>1</v>
      </c>
      <c r="I4" s="6">
        <v>2</v>
      </c>
      <c r="J4" s="6">
        <v>3</v>
      </c>
      <c r="K4" s="6">
        <v>4</v>
      </c>
      <c r="L4" s="6">
        <v>5</v>
      </c>
      <c r="M4" s="6">
        <v>6</v>
      </c>
      <c r="N4" s="6">
        <v>7</v>
      </c>
      <c r="O4" s="6">
        <v>8</v>
      </c>
      <c r="P4" s="6">
        <v>9</v>
      </c>
      <c r="Q4" s="6">
        <v>10</v>
      </c>
      <c r="R4" s="6">
        <v>11</v>
      </c>
      <c r="S4" s="6">
        <v>12</v>
      </c>
      <c r="T4" s="6">
        <v>13</v>
      </c>
      <c r="U4" s="6">
        <v>14</v>
      </c>
      <c r="V4" s="6">
        <v>15</v>
      </c>
      <c r="W4" s="7"/>
    </row>
    <row r="5" spans="1:40" x14ac:dyDescent="0.25">
      <c r="A5" s="2" t="s">
        <v>2</v>
      </c>
      <c r="B5" s="3">
        <v>101325</v>
      </c>
      <c r="F5" s="8" t="s">
        <v>3</v>
      </c>
      <c r="G5" s="9">
        <f t="shared" ref="G5:G13" si="0">G6+B$2</f>
        <v>1.9999999999999998</v>
      </c>
      <c r="H5" s="10">
        <f t="shared" ref="H5:H8" si="1">H6+$B$4*$B$2</f>
        <v>10</v>
      </c>
      <c r="I5" s="11">
        <f>H5</f>
        <v>10</v>
      </c>
      <c r="J5" s="11">
        <f t="shared" ref="J5:V5" si="2">I5</f>
        <v>10</v>
      </c>
      <c r="K5" s="11">
        <f t="shared" si="2"/>
        <v>10</v>
      </c>
      <c r="L5" s="11">
        <f t="shared" si="2"/>
        <v>10</v>
      </c>
      <c r="M5" s="11">
        <f t="shared" si="2"/>
        <v>10</v>
      </c>
      <c r="N5" s="11">
        <f t="shared" si="2"/>
        <v>10</v>
      </c>
      <c r="O5" s="11">
        <f t="shared" si="2"/>
        <v>10</v>
      </c>
      <c r="P5" s="11">
        <f t="shared" si="2"/>
        <v>10</v>
      </c>
      <c r="Q5" s="11">
        <f t="shared" si="2"/>
        <v>10</v>
      </c>
      <c r="R5" s="11">
        <f t="shared" si="2"/>
        <v>10</v>
      </c>
      <c r="S5" s="11">
        <f t="shared" si="2"/>
        <v>10</v>
      </c>
      <c r="T5" s="11">
        <f t="shared" si="2"/>
        <v>10</v>
      </c>
      <c r="U5" s="11">
        <f t="shared" si="2"/>
        <v>10</v>
      </c>
      <c r="V5" s="11">
        <f t="shared" si="2"/>
        <v>10</v>
      </c>
      <c r="W5" s="12">
        <v>11</v>
      </c>
      <c r="Y5" s="13">
        <v>0</v>
      </c>
      <c r="Z5" s="13">
        <v>1</v>
      </c>
      <c r="AA5" s="13">
        <v>2</v>
      </c>
      <c r="AB5" s="13">
        <v>3</v>
      </c>
      <c r="AC5" s="13">
        <v>4</v>
      </c>
      <c r="AD5" s="13">
        <v>5</v>
      </c>
      <c r="AE5" s="13">
        <v>6</v>
      </c>
      <c r="AF5" s="13">
        <v>7</v>
      </c>
      <c r="AG5" s="13">
        <v>8</v>
      </c>
      <c r="AH5" s="13">
        <v>9</v>
      </c>
      <c r="AI5" s="13">
        <v>10</v>
      </c>
      <c r="AJ5" s="13">
        <v>11</v>
      </c>
      <c r="AK5" s="13">
        <v>12</v>
      </c>
      <c r="AL5" s="13">
        <v>13</v>
      </c>
      <c r="AM5" s="13">
        <v>14</v>
      </c>
      <c r="AN5" s="13">
        <v>15</v>
      </c>
    </row>
    <row r="6" spans="1:40" x14ac:dyDescent="0.25">
      <c r="A6" s="2" t="s">
        <v>4</v>
      </c>
      <c r="B6" s="3">
        <f>((G5-G10)*B4)/(G5-G15)</f>
        <v>5</v>
      </c>
      <c r="G6" s="9">
        <f t="shared" si="0"/>
        <v>1.7999999999999998</v>
      </c>
      <c r="H6" s="10">
        <f t="shared" si="1"/>
        <v>8</v>
      </c>
      <c r="I6" s="14">
        <f>0.25*(I19+J20+I21+H20)</f>
        <v>4.5</v>
      </c>
      <c r="J6" s="14">
        <f t="shared" ref="J6:U6" si="3">0.25*(J19+K20+J21+I20)</f>
        <v>2.5</v>
      </c>
      <c r="K6" s="14">
        <f t="shared" si="3"/>
        <v>2.5</v>
      </c>
      <c r="L6" s="14">
        <f t="shared" si="3"/>
        <v>2.5</v>
      </c>
      <c r="M6" s="14">
        <f t="shared" si="3"/>
        <v>2.5</v>
      </c>
      <c r="N6" s="14">
        <f t="shared" si="3"/>
        <v>2.5</v>
      </c>
      <c r="O6" s="14">
        <f t="shared" si="3"/>
        <v>2.5</v>
      </c>
      <c r="P6" s="14">
        <f t="shared" si="3"/>
        <v>2.5</v>
      </c>
      <c r="Q6" s="14">
        <f t="shared" si="3"/>
        <v>2.5</v>
      </c>
      <c r="R6" s="14">
        <f t="shared" si="3"/>
        <v>2.5</v>
      </c>
      <c r="S6" s="14">
        <f t="shared" si="3"/>
        <v>2.5</v>
      </c>
      <c r="T6" s="14">
        <f t="shared" si="3"/>
        <v>2.5</v>
      </c>
      <c r="U6" s="14">
        <f t="shared" si="3"/>
        <v>4.75</v>
      </c>
      <c r="V6" s="11">
        <f t="shared" ref="V6:V13" si="4">V7+$B$6*$B$2</f>
        <v>9</v>
      </c>
      <c r="W6" s="12">
        <v>10</v>
      </c>
      <c r="Y6" s="15" t="s">
        <v>3</v>
      </c>
      <c r="Z6" s="16">
        <f>H10</f>
        <v>0</v>
      </c>
      <c r="AA6" s="16">
        <f t="shared" ref="AA6:AD6" si="5">I10</f>
        <v>0</v>
      </c>
      <c r="AB6" s="16">
        <f t="shared" si="5"/>
        <v>0</v>
      </c>
      <c r="AC6" s="16">
        <f t="shared" si="5"/>
        <v>0</v>
      </c>
      <c r="AD6" s="16">
        <f t="shared" si="5"/>
        <v>0</v>
      </c>
      <c r="AE6" s="16">
        <f>M11</f>
        <v>0</v>
      </c>
      <c r="AF6" s="16">
        <f>N12</f>
        <v>0</v>
      </c>
      <c r="AG6" s="16">
        <f>O13</f>
        <v>0</v>
      </c>
      <c r="AH6" s="16">
        <f>P14</f>
        <v>0</v>
      </c>
      <c r="AI6" s="16">
        <f>Q15</f>
        <v>0</v>
      </c>
      <c r="AJ6" s="16">
        <f t="shared" ref="AJ6:AN6" si="6">R15</f>
        <v>0</v>
      </c>
      <c r="AK6" s="16">
        <f t="shared" si="6"/>
        <v>0</v>
      </c>
      <c r="AL6" s="16">
        <f t="shared" si="6"/>
        <v>0</v>
      </c>
      <c r="AM6" s="16">
        <f t="shared" si="6"/>
        <v>0</v>
      </c>
      <c r="AN6" s="16">
        <f t="shared" si="6"/>
        <v>0</v>
      </c>
    </row>
    <row r="7" spans="1:40" x14ac:dyDescent="0.25">
      <c r="A7" s="4"/>
      <c r="G7" s="9">
        <f t="shared" si="0"/>
        <v>1.5999999999999999</v>
      </c>
      <c r="H7" s="10">
        <f t="shared" si="1"/>
        <v>6</v>
      </c>
      <c r="I7" s="14">
        <f t="shared" ref="I7:U14" si="7">0.25*(I20+J21+I22+H21)</f>
        <v>1.5</v>
      </c>
      <c r="J7" s="14">
        <f t="shared" si="7"/>
        <v>0</v>
      </c>
      <c r="K7" s="14">
        <f t="shared" si="7"/>
        <v>0</v>
      </c>
      <c r="L7" s="14">
        <f t="shared" si="7"/>
        <v>0</v>
      </c>
      <c r="M7" s="14">
        <f t="shared" si="7"/>
        <v>0</v>
      </c>
      <c r="N7" s="14">
        <f t="shared" si="7"/>
        <v>0</v>
      </c>
      <c r="O7" s="14">
        <f t="shared" si="7"/>
        <v>0</v>
      </c>
      <c r="P7" s="14">
        <f t="shared" si="7"/>
        <v>0</v>
      </c>
      <c r="Q7" s="14">
        <f t="shared" si="7"/>
        <v>0</v>
      </c>
      <c r="R7" s="14">
        <f t="shared" si="7"/>
        <v>0</v>
      </c>
      <c r="S7" s="14">
        <f t="shared" si="7"/>
        <v>0</v>
      </c>
      <c r="T7" s="14">
        <f t="shared" si="7"/>
        <v>0</v>
      </c>
      <c r="U7" s="14">
        <f t="shared" si="7"/>
        <v>2</v>
      </c>
      <c r="V7" s="11">
        <f t="shared" si="4"/>
        <v>8</v>
      </c>
      <c r="W7" s="12">
        <v>9</v>
      </c>
      <c r="Y7" s="17" t="s">
        <v>5</v>
      </c>
      <c r="Z7" s="16">
        <f>H16</f>
        <v>0</v>
      </c>
      <c r="AA7" s="16">
        <f t="shared" ref="AA7:AN7" si="8">I16</f>
        <v>0.2</v>
      </c>
      <c r="AB7" s="16">
        <f t="shared" si="8"/>
        <v>0.4</v>
      </c>
      <c r="AC7" s="16">
        <f t="shared" si="8"/>
        <v>0.60000000000000009</v>
      </c>
      <c r="AD7" s="16">
        <f t="shared" si="8"/>
        <v>0.8</v>
      </c>
      <c r="AE7" s="16">
        <f t="shared" si="8"/>
        <v>1</v>
      </c>
      <c r="AF7" s="16">
        <f t="shared" si="8"/>
        <v>1.2</v>
      </c>
      <c r="AG7" s="16">
        <f t="shared" si="8"/>
        <v>1.4</v>
      </c>
      <c r="AH7" s="16">
        <f t="shared" si="8"/>
        <v>1.5999999999999999</v>
      </c>
      <c r="AI7" s="16">
        <f t="shared" si="8"/>
        <v>1.7999999999999998</v>
      </c>
      <c r="AJ7" s="16">
        <f t="shared" si="8"/>
        <v>1.9999999999999998</v>
      </c>
      <c r="AK7" s="16">
        <f t="shared" si="8"/>
        <v>2.1999999999999997</v>
      </c>
      <c r="AL7" s="16">
        <f t="shared" si="8"/>
        <v>2.4</v>
      </c>
      <c r="AM7" s="16">
        <f t="shared" si="8"/>
        <v>2.6</v>
      </c>
      <c r="AN7" s="16">
        <f t="shared" si="8"/>
        <v>2.8000000000000003</v>
      </c>
    </row>
    <row r="8" spans="1:40" x14ac:dyDescent="0.25">
      <c r="A8" s="2" t="s">
        <v>6</v>
      </c>
      <c r="B8" s="3">
        <v>300</v>
      </c>
      <c r="C8">
        <v>300</v>
      </c>
      <c r="G8" s="9">
        <f t="shared" si="0"/>
        <v>1.4</v>
      </c>
      <c r="H8" s="10">
        <f t="shared" si="1"/>
        <v>4</v>
      </c>
      <c r="I8" s="14">
        <f t="shared" si="7"/>
        <v>1</v>
      </c>
      <c r="J8" s="14">
        <f t="shared" si="7"/>
        <v>0</v>
      </c>
      <c r="K8" s="14">
        <f t="shared" si="7"/>
        <v>0</v>
      </c>
      <c r="L8" s="14">
        <f t="shared" si="7"/>
        <v>0</v>
      </c>
      <c r="M8" s="14">
        <f t="shared" si="7"/>
        <v>0</v>
      </c>
      <c r="N8" s="14">
        <f t="shared" si="7"/>
        <v>0</v>
      </c>
      <c r="O8" s="14">
        <f t="shared" si="7"/>
        <v>0</v>
      </c>
      <c r="P8" s="14">
        <f t="shared" si="7"/>
        <v>0</v>
      </c>
      <c r="Q8" s="14">
        <f t="shared" si="7"/>
        <v>0</v>
      </c>
      <c r="R8" s="14">
        <f t="shared" si="7"/>
        <v>0</v>
      </c>
      <c r="S8" s="14">
        <f t="shared" si="7"/>
        <v>0</v>
      </c>
      <c r="T8" s="14">
        <f t="shared" si="7"/>
        <v>0</v>
      </c>
      <c r="U8" s="14">
        <f t="shared" si="7"/>
        <v>1.75</v>
      </c>
      <c r="V8" s="11">
        <f t="shared" si="4"/>
        <v>7</v>
      </c>
      <c r="W8" s="12">
        <v>8</v>
      </c>
      <c r="Y8" s="17" t="s">
        <v>7</v>
      </c>
      <c r="Z8" s="16">
        <f>$G10</f>
        <v>1</v>
      </c>
      <c r="AA8" s="16">
        <f t="shared" ref="AA8:AD8" si="9">$G10</f>
        <v>1</v>
      </c>
      <c r="AB8" s="16">
        <f t="shared" si="9"/>
        <v>1</v>
      </c>
      <c r="AC8" s="16">
        <f t="shared" si="9"/>
        <v>1</v>
      </c>
      <c r="AD8" s="16">
        <f t="shared" si="9"/>
        <v>1</v>
      </c>
      <c r="AE8" s="16">
        <f>G11</f>
        <v>0.8</v>
      </c>
      <c r="AF8" s="16">
        <f>G12</f>
        <v>0.60000000000000009</v>
      </c>
      <c r="AG8" s="16">
        <f>G13</f>
        <v>0.4</v>
      </c>
      <c r="AH8" s="16">
        <f>G14</f>
        <v>0.2</v>
      </c>
      <c r="AI8" s="16">
        <f>$G15</f>
        <v>0</v>
      </c>
      <c r="AJ8" s="16">
        <f t="shared" ref="AJ8:AN8" si="10">$G15</f>
        <v>0</v>
      </c>
      <c r="AK8" s="16">
        <f t="shared" si="10"/>
        <v>0</v>
      </c>
      <c r="AL8" s="16">
        <f t="shared" si="10"/>
        <v>0</v>
      </c>
      <c r="AM8" s="16">
        <f t="shared" si="10"/>
        <v>0</v>
      </c>
      <c r="AN8" s="16">
        <f t="shared" si="10"/>
        <v>0</v>
      </c>
    </row>
    <row r="9" spans="1:40" x14ac:dyDescent="0.25">
      <c r="A9" s="4"/>
      <c r="G9" s="9">
        <f t="shared" si="0"/>
        <v>1.2</v>
      </c>
      <c r="H9" s="10">
        <f>H10+$B$4*$B$2</f>
        <v>2</v>
      </c>
      <c r="I9" s="14">
        <f t="shared" si="7"/>
        <v>0.5</v>
      </c>
      <c r="J9" s="14">
        <f t="shared" si="7"/>
        <v>0</v>
      </c>
      <c r="K9" s="14">
        <f t="shared" si="7"/>
        <v>0</v>
      </c>
      <c r="L9" s="14">
        <f t="shared" si="7"/>
        <v>0</v>
      </c>
      <c r="M9" s="14">
        <f t="shared" si="7"/>
        <v>0</v>
      </c>
      <c r="N9" s="14">
        <f t="shared" si="7"/>
        <v>0</v>
      </c>
      <c r="O9" s="14">
        <f t="shared" si="7"/>
        <v>0</v>
      </c>
      <c r="P9" s="14">
        <f t="shared" si="7"/>
        <v>0</v>
      </c>
      <c r="Q9" s="14">
        <f t="shared" si="7"/>
        <v>0</v>
      </c>
      <c r="R9" s="14">
        <f t="shared" si="7"/>
        <v>0</v>
      </c>
      <c r="S9" s="14">
        <f t="shared" si="7"/>
        <v>0</v>
      </c>
      <c r="T9" s="14">
        <f t="shared" si="7"/>
        <v>0</v>
      </c>
      <c r="U9" s="14">
        <f t="shared" si="7"/>
        <v>1.5</v>
      </c>
      <c r="V9" s="11">
        <f t="shared" si="4"/>
        <v>6</v>
      </c>
      <c r="W9" s="12">
        <v>7</v>
      </c>
      <c r="Y9" s="17" t="s">
        <v>8</v>
      </c>
      <c r="Z9" s="16">
        <f>H38</f>
        <v>10</v>
      </c>
      <c r="AA9" s="16">
        <f>I38</f>
        <v>2.5</v>
      </c>
      <c r="AB9" s="16">
        <f t="shared" ref="AB9:AD9" si="11">J38</f>
        <v>0</v>
      </c>
      <c r="AC9" s="16">
        <f t="shared" si="11"/>
        <v>0</v>
      </c>
      <c r="AD9" s="16">
        <f t="shared" si="11"/>
        <v>0</v>
      </c>
      <c r="AE9" s="16">
        <f>M39</f>
        <v>0</v>
      </c>
      <c r="AF9" s="16">
        <f>N40</f>
        <v>0</v>
      </c>
      <c r="AG9" s="16">
        <f>O41</f>
        <v>0</v>
      </c>
      <c r="AH9" s="16">
        <f>P42</f>
        <v>0</v>
      </c>
      <c r="AI9" s="16">
        <f t="shared" ref="AI9:AM9" si="12">Q43</f>
        <v>0</v>
      </c>
      <c r="AJ9" s="16">
        <f t="shared" si="12"/>
        <v>0</v>
      </c>
      <c r="AK9" s="16">
        <f t="shared" si="12"/>
        <v>0</v>
      </c>
      <c r="AL9" s="16">
        <f t="shared" si="12"/>
        <v>0</v>
      </c>
      <c r="AM9" s="16">
        <f t="shared" si="12"/>
        <v>1.25</v>
      </c>
      <c r="AN9" s="16">
        <f>V43</f>
        <v>5</v>
      </c>
    </row>
    <row r="10" spans="1:40" x14ac:dyDescent="0.25">
      <c r="A10" s="2" t="s">
        <v>9</v>
      </c>
      <c r="B10" s="3">
        <v>15</v>
      </c>
      <c r="G10" s="9">
        <f t="shared" si="0"/>
        <v>1</v>
      </c>
      <c r="H10" s="10">
        <v>0</v>
      </c>
      <c r="I10" s="11">
        <v>0</v>
      </c>
      <c r="J10" s="11">
        <v>0</v>
      </c>
      <c r="K10" s="11">
        <v>0</v>
      </c>
      <c r="L10" s="11">
        <v>0</v>
      </c>
      <c r="M10" s="14">
        <f t="shared" si="7"/>
        <v>0</v>
      </c>
      <c r="N10" s="14">
        <f t="shared" si="7"/>
        <v>0</v>
      </c>
      <c r="O10" s="14">
        <f t="shared" si="7"/>
        <v>0</v>
      </c>
      <c r="P10" s="14">
        <f t="shared" si="7"/>
        <v>0</v>
      </c>
      <c r="Q10" s="14">
        <f t="shared" si="7"/>
        <v>0</v>
      </c>
      <c r="R10" s="14">
        <f t="shared" si="7"/>
        <v>0</v>
      </c>
      <c r="S10" s="14">
        <f t="shared" si="7"/>
        <v>0</v>
      </c>
      <c r="T10" s="14">
        <f t="shared" si="7"/>
        <v>0</v>
      </c>
      <c r="U10" s="14">
        <f t="shared" si="7"/>
        <v>1.25</v>
      </c>
      <c r="V10" s="11">
        <f t="shared" si="4"/>
        <v>5</v>
      </c>
      <c r="W10" s="12">
        <v>6</v>
      </c>
      <c r="Y10" s="17" t="s">
        <v>10</v>
      </c>
      <c r="Z10" s="16">
        <f>H52</f>
        <v>0</v>
      </c>
      <c r="AA10" s="16">
        <f t="shared" ref="AA10:AD10" si="13">I52</f>
        <v>0</v>
      </c>
      <c r="AB10" s="16">
        <f t="shared" si="13"/>
        <v>0</v>
      </c>
      <c r="AC10" s="16">
        <f t="shared" si="13"/>
        <v>0</v>
      </c>
      <c r="AD10" s="16">
        <f t="shared" si="13"/>
        <v>0</v>
      </c>
      <c r="AE10" s="16">
        <f>M53</f>
        <v>0</v>
      </c>
      <c r="AF10" s="16">
        <f>N54</f>
        <v>0</v>
      </c>
      <c r="AG10" s="16">
        <f>O55</f>
        <v>0</v>
      </c>
      <c r="AH10" s="16">
        <f>P56</f>
        <v>0</v>
      </c>
      <c r="AI10" s="16">
        <f>Q57</f>
        <v>0</v>
      </c>
      <c r="AJ10" s="16">
        <f t="shared" ref="AJ10:AN10" si="14">R57</f>
        <v>0</v>
      </c>
      <c r="AK10" s="16">
        <f t="shared" si="14"/>
        <v>0</v>
      </c>
      <c r="AL10" s="16">
        <f t="shared" si="14"/>
        <v>0</v>
      </c>
      <c r="AM10" s="16">
        <f t="shared" si="14"/>
        <v>0</v>
      </c>
      <c r="AN10" s="16">
        <f t="shared" si="14"/>
        <v>0</v>
      </c>
    </row>
    <row r="11" spans="1:40" x14ac:dyDescent="0.25">
      <c r="A11" s="2" t="s">
        <v>11</v>
      </c>
      <c r="B11" s="3">
        <v>11</v>
      </c>
      <c r="G11" s="9">
        <f t="shared" si="0"/>
        <v>0.8</v>
      </c>
      <c r="H11" s="5"/>
      <c r="I11" s="5"/>
      <c r="J11" s="5"/>
      <c r="K11" s="5"/>
      <c r="L11" s="5"/>
      <c r="M11" s="11">
        <v>0</v>
      </c>
      <c r="N11" s="14">
        <f t="shared" si="7"/>
        <v>0</v>
      </c>
      <c r="O11" s="14">
        <f t="shared" si="7"/>
        <v>0</v>
      </c>
      <c r="P11" s="14">
        <f t="shared" si="7"/>
        <v>0</v>
      </c>
      <c r="Q11" s="14">
        <f t="shared" si="7"/>
        <v>0</v>
      </c>
      <c r="R11" s="14">
        <f t="shared" si="7"/>
        <v>0</v>
      </c>
      <c r="S11" s="14">
        <f t="shared" si="7"/>
        <v>0</v>
      </c>
      <c r="T11" s="14">
        <f t="shared" si="7"/>
        <v>0</v>
      </c>
      <c r="U11" s="14">
        <f t="shared" si="7"/>
        <v>1</v>
      </c>
      <c r="V11" s="11">
        <f t="shared" si="4"/>
        <v>4</v>
      </c>
      <c r="W11" s="12">
        <v>5</v>
      </c>
      <c r="Y11" s="17" t="s">
        <v>12</v>
      </c>
      <c r="Z11" s="16">
        <f>((Z9)^2+(Z10)^2)^0.5</f>
        <v>10</v>
      </c>
      <c r="AA11" s="16">
        <f t="shared" ref="AA11:AN11" si="15">((AA9)^2+(AA10)^2)^0.5</f>
        <v>2.5</v>
      </c>
      <c r="AB11" s="16">
        <f t="shared" si="15"/>
        <v>0</v>
      </c>
      <c r="AC11" s="16">
        <f t="shared" si="15"/>
        <v>0</v>
      </c>
      <c r="AD11" s="16">
        <f t="shared" si="15"/>
        <v>0</v>
      </c>
      <c r="AE11" s="16">
        <f t="shared" si="15"/>
        <v>0</v>
      </c>
      <c r="AF11" s="16">
        <f t="shared" si="15"/>
        <v>0</v>
      </c>
      <c r="AG11" s="16">
        <f t="shared" si="15"/>
        <v>0</v>
      </c>
      <c r="AH11" s="16">
        <f t="shared" si="15"/>
        <v>0</v>
      </c>
      <c r="AI11" s="16">
        <f t="shared" si="15"/>
        <v>0</v>
      </c>
      <c r="AJ11" s="16">
        <f t="shared" si="15"/>
        <v>0</v>
      </c>
      <c r="AK11" s="16">
        <f t="shared" si="15"/>
        <v>0</v>
      </c>
      <c r="AL11" s="16">
        <f t="shared" si="15"/>
        <v>0</v>
      </c>
      <c r="AM11" s="16">
        <f t="shared" si="15"/>
        <v>1.25</v>
      </c>
      <c r="AN11" s="16">
        <f t="shared" si="15"/>
        <v>5</v>
      </c>
    </row>
    <row r="12" spans="1:40" x14ac:dyDescent="0.25">
      <c r="A12" s="2" t="s">
        <v>13</v>
      </c>
      <c r="B12" s="3">
        <v>15</v>
      </c>
      <c r="F12" s="4"/>
      <c r="G12" s="9">
        <f t="shared" si="0"/>
        <v>0.60000000000000009</v>
      </c>
      <c r="H12" s="5"/>
      <c r="I12" s="5"/>
      <c r="J12" s="5"/>
      <c r="K12" s="5"/>
      <c r="L12" s="5"/>
      <c r="M12" s="5"/>
      <c r="N12" s="11">
        <v>0</v>
      </c>
      <c r="O12" s="14">
        <f t="shared" si="7"/>
        <v>0</v>
      </c>
      <c r="P12" s="14">
        <f t="shared" si="7"/>
        <v>0</v>
      </c>
      <c r="Q12" s="14">
        <f t="shared" si="7"/>
        <v>0</v>
      </c>
      <c r="R12" s="14">
        <f t="shared" si="7"/>
        <v>0</v>
      </c>
      <c r="S12" s="14">
        <f t="shared" si="7"/>
        <v>0</v>
      </c>
      <c r="T12" s="14">
        <f t="shared" si="7"/>
        <v>0</v>
      </c>
      <c r="U12" s="14">
        <f t="shared" si="7"/>
        <v>0.75</v>
      </c>
      <c r="V12" s="11">
        <f t="shared" si="4"/>
        <v>3</v>
      </c>
      <c r="W12" s="12">
        <v>4</v>
      </c>
      <c r="Y12" s="17" t="s">
        <v>14</v>
      </c>
      <c r="Z12" s="18">
        <f>B5</f>
        <v>101325</v>
      </c>
      <c r="AA12" s="18">
        <f>(Z12+(Z11^2)/2)-(AA11^2)/2</f>
        <v>101371.875</v>
      </c>
      <c r="AB12" s="18">
        <f t="shared" ref="AB12:AN12" si="16">(AA12+(AA11^2)/2)-(AB11^2)/2</f>
        <v>101375</v>
      </c>
      <c r="AC12" s="18">
        <f t="shared" si="16"/>
        <v>101375</v>
      </c>
      <c r="AD12" s="18">
        <f t="shared" si="16"/>
        <v>101375</v>
      </c>
      <c r="AE12" s="18">
        <f t="shared" si="16"/>
        <v>101375</v>
      </c>
      <c r="AF12" s="18">
        <f t="shared" si="16"/>
        <v>101375</v>
      </c>
      <c r="AG12" s="18">
        <f t="shared" si="16"/>
        <v>101375</v>
      </c>
      <c r="AH12" s="18">
        <f t="shared" si="16"/>
        <v>101375</v>
      </c>
      <c r="AI12" s="18">
        <f t="shared" si="16"/>
        <v>101375</v>
      </c>
      <c r="AJ12" s="18">
        <f t="shared" si="16"/>
        <v>101375</v>
      </c>
      <c r="AK12" s="18">
        <f t="shared" si="16"/>
        <v>101375</v>
      </c>
      <c r="AL12" s="18">
        <f t="shared" si="16"/>
        <v>101375</v>
      </c>
      <c r="AM12" s="18">
        <f t="shared" si="16"/>
        <v>101374.21875</v>
      </c>
      <c r="AN12" s="18">
        <f t="shared" si="16"/>
        <v>101362.5</v>
      </c>
    </row>
    <row r="13" spans="1:40" x14ac:dyDescent="0.25">
      <c r="A13" s="2" t="s">
        <v>15</v>
      </c>
      <c r="B13" s="3">
        <v>6</v>
      </c>
      <c r="G13" s="9">
        <f t="shared" si="0"/>
        <v>0.4</v>
      </c>
      <c r="H13" s="5"/>
      <c r="I13" s="5"/>
      <c r="J13" s="5"/>
      <c r="K13" s="5"/>
      <c r="L13" s="5"/>
      <c r="M13" s="5"/>
      <c r="N13" s="5"/>
      <c r="O13" s="11">
        <v>0</v>
      </c>
      <c r="P13" s="14">
        <f t="shared" si="7"/>
        <v>0</v>
      </c>
      <c r="Q13" s="14">
        <f t="shared" si="7"/>
        <v>0</v>
      </c>
      <c r="R13" s="14">
        <f t="shared" si="7"/>
        <v>0</v>
      </c>
      <c r="S13" s="14">
        <f t="shared" si="7"/>
        <v>0</v>
      </c>
      <c r="T13" s="14">
        <f t="shared" si="7"/>
        <v>0</v>
      </c>
      <c r="U13" s="14">
        <f t="shared" si="7"/>
        <v>0.5</v>
      </c>
      <c r="V13" s="11">
        <f t="shared" si="4"/>
        <v>2</v>
      </c>
      <c r="W13" s="12">
        <v>3</v>
      </c>
      <c r="Y13" s="17" t="s">
        <v>16</v>
      </c>
      <c r="Z13" s="16">
        <f>(Z12-$B$5)/(($B$4^2)/2)</f>
        <v>0</v>
      </c>
      <c r="AA13" s="16">
        <f t="shared" ref="AA13:AN13" si="17">(AA12-$B$5)/(($B$4^2)/2)</f>
        <v>0.9375</v>
      </c>
      <c r="AB13" s="16">
        <f t="shared" si="17"/>
        <v>1</v>
      </c>
      <c r="AC13" s="16">
        <f t="shared" si="17"/>
        <v>1</v>
      </c>
      <c r="AD13" s="16">
        <f t="shared" si="17"/>
        <v>1</v>
      </c>
      <c r="AE13" s="16">
        <f t="shared" si="17"/>
        <v>1</v>
      </c>
      <c r="AF13" s="16">
        <f t="shared" si="17"/>
        <v>1</v>
      </c>
      <c r="AG13" s="16">
        <f t="shared" si="17"/>
        <v>1</v>
      </c>
      <c r="AH13" s="16">
        <f t="shared" si="17"/>
        <v>1</v>
      </c>
      <c r="AI13" s="16">
        <f t="shared" si="17"/>
        <v>1</v>
      </c>
      <c r="AJ13" s="16">
        <f t="shared" si="17"/>
        <v>1</v>
      </c>
      <c r="AK13" s="16">
        <f t="shared" si="17"/>
        <v>1</v>
      </c>
      <c r="AL13" s="16">
        <f t="shared" si="17"/>
        <v>1</v>
      </c>
      <c r="AM13" s="16">
        <f t="shared" si="17"/>
        <v>0.984375</v>
      </c>
      <c r="AN13" s="16">
        <f t="shared" si="17"/>
        <v>0.75</v>
      </c>
    </row>
    <row r="14" spans="1:40" x14ac:dyDescent="0.25">
      <c r="A14" s="19" t="s">
        <v>3</v>
      </c>
      <c r="B14" s="3">
        <v>0</v>
      </c>
      <c r="G14" s="9">
        <f>G15+B$2</f>
        <v>0.2</v>
      </c>
      <c r="H14" s="5"/>
      <c r="I14" s="5"/>
      <c r="J14" s="5"/>
      <c r="K14" s="5"/>
      <c r="L14" s="5"/>
      <c r="M14" s="5"/>
      <c r="N14" s="5"/>
      <c r="O14" s="5"/>
      <c r="P14" s="11">
        <v>0</v>
      </c>
      <c r="Q14" s="14">
        <f t="shared" si="7"/>
        <v>0</v>
      </c>
      <c r="R14" s="14">
        <f t="shared" si="7"/>
        <v>0</v>
      </c>
      <c r="S14" s="14">
        <f t="shared" si="7"/>
        <v>0</v>
      </c>
      <c r="T14" s="14">
        <f t="shared" si="7"/>
        <v>0</v>
      </c>
      <c r="U14" s="14">
        <f t="shared" si="7"/>
        <v>0.25</v>
      </c>
      <c r="V14" s="11">
        <f>V15+$B$6*$B$2</f>
        <v>1</v>
      </c>
      <c r="W14" s="12">
        <v>2</v>
      </c>
    </row>
    <row r="15" spans="1:40" x14ac:dyDescent="0.25">
      <c r="G15" s="9">
        <v>0</v>
      </c>
      <c r="H15" s="5"/>
      <c r="I15" s="5"/>
      <c r="J15" s="5"/>
      <c r="K15" s="5"/>
      <c r="L15" s="5"/>
      <c r="M15" s="5"/>
      <c r="N15" s="5"/>
      <c r="O15" s="5"/>
      <c r="P15" s="5"/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12">
        <v>1</v>
      </c>
    </row>
    <row r="16" spans="1:40" x14ac:dyDescent="0.25">
      <c r="G16" s="5"/>
      <c r="H16" s="9">
        <v>0</v>
      </c>
      <c r="I16" s="9">
        <f>H16+$B$2</f>
        <v>0.2</v>
      </c>
      <c r="J16" s="9">
        <f t="shared" ref="J16:V16" si="18">I16+$B$2</f>
        <v>0.4</v>
      </c>
      <c r="K16" s="9">
        <f t="shared" si="18"/>
        <v>0.60000000000000009</v>
      </c>
      <c r="L16" s="9">
        <f t="shared" si="18"/>
        <v>0.8</v>
      </c>
      <c r="M16" s="9">
        <f t="shared" si="18"/>
        <v>1</v>
      </c>
      <c r="N16" s="9">
        <f t="shared" si="18"/>
        <v>1.2</v>
      </c>
      <c r="O16" s="9">
        <f t="shared" si="18"/>
        <v>1.4</v>
      </c>
      <c r="P16" s="9">
        <f t="shared" si="18"/>
        <v>1.5999999999999999</v>
      </c>
      <c r="Q16" s="9">
        <f t="shared" si="18"/>
        <v>1.7999999999999998</v>
      </c>
      <c r="R16" s="9">
        <f t="shared" si="18"/>
        <v>1.9999999999999998</v>
      </c>
      <c r="S16" s="9">
        <f t="shared" si="18"/>
        <v>2.1999999999999997</v>
      </c>
      <c r="T16" s="9">
        <f t="shared" si="18"/>
        <v>2.4</v>
      </c>
      <c r="U16" s="9">
        <f t="shared" si="18"/>
        <v>2.6</v>
      </c>
      <c r="V16" s="9">
        <f t="shared" si="18"/>
        <v>2.8000000000000003</v>
      </c>
      <c r="W16" s="7"/>
    </row>
    <row r="17" spans="7:40" x14ac:dyDescent="0.25"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7:40" x14ac:dyDescent="0.25">
      <c r="G18" s="5"/>
      <c r="H18" s="6">
        <v>1</v>
      </c>
      <c r="I18" s="6">
        <v>2</v>
      </c>
      <c r="J18" s="6">
        <v>3</v>
      </c>
      <c r="K18" s="6">
        <v>4</v>
      </c>
      <c r="L18" s="6">
        <v>5</v>
      </c>
      <c r="M18" s="6">
        <v>6</v>
      </c>
      <c r="N18" s="6">
        <v>7</v>
      </c>
      <c r="O18" s="6">
        <v>8</v>
      </c>
      <c r="P18" s="6">
        <v>9</v>
      </c>
      <c r="Q18" s="6">
        <v>10</v>
      </c>
      <c r="R18" s="6">
        <v>11</v>
      </c>
      <c r="S18" s="6">
        <v>12</v>
      </c>
      <c r="T18" s="6">
        <v>13</v>
      </c>
      <c r="U18" s="6">
        <v>14</v>
      </c>
      <c r="V18" s="6">
        <v>15</v>
      </c>
      <c r="W18" s="21"/>
      <c r="Y18" s="13">
        <v>0</v>
      </c>
      <c r="Z18" s="13">
        <v>1</v>
      </c>
      <c r="AA18" s="13">
        <v>2</v>
      </c>
      <c r="AB18" s="13">
        <v>3</v>
      </c>
      <c r="AC18" s="13">
        <v>4</v>
      </c>
      <c r="AD18" s="13">
        <v>5</v>
      </c>
      <c r="AE18" s="13">
        <v>6</v>
      </c>
      <c r="AF18" s="13">
        <v>7</v>
      </c>
      <c r="AG18" s="13">
        <v>8</v>
      </c>
      <c r="AH18" s="13">
        <v>9</v>
      </c>
      <c r="AI18" s="13">
        <v>10</v>
      </c>
      <c r="AJ18" s="13">
        <v>11</v>
      </c>
      <c r="AK18" s="13">
        <v>12</v>
      </c>
      <c r="AL18" s="13">
        <v>13</v>
      </c>
      <c r="AM18" s="13">
        <v>14</v>
      </c>
      <c r="AN18" s="13">
        <v>15</v>
      </c>
    </row>
    <row r="19" spans="7:40" x14ac:dyDescent="0.25">
      <c r="G19" s="9">
        <f t="shared" ref="G19:G27" si="19">G20+B$2</f>
        <v>1.9999999999999998</v>
      </c>
      <c r="H19" s="22">
        <v>10</v>
      </c>
      <c r="I19" s="23">
        <v>10</v>
      </c>
      <c r="J19" s="23">
        <v>10</v>
      </c>
      <c r="K19" s="23">
        <v>10</v>
      </c>
      <c r="L19" s="23">
        <v>10</v>
      </c>
      <c r="M19" s="23">
        <v>10</v>
      </c>
      <c r="N19" s="23">
        <v>10</v>
      </c>
      <c r="O19" s="23">
        <v>10</v>
      </c>
      <c r="P19" s="23">
        <v>10</v>
      </c>
      <c r="Q19" s="23">
        <v>10</v>
      </c>
      <c r="R19" s="23">
        <v>10</v>
      </c>
      <c r="S19" s="23">
        <v>10</v>
      </c>
      <c r="T19" s="23">
        <v>10</v>
      </c>
      <c r="U19" s="23">
        <v>10</v>
      </c>
      <c r="V19" s="23">
        <v>10</v>
      </c>
      <c r="W19" s="21"/>
      <c r="Y19" s="15" t="s">
        <v>3</v>
      </c>
      <c r="Z19" s="16">
        <f>H5</f>
        <v>10</v>
      </c>
      <c r="AA19" s="16">
        <f t="shared" ref="AA19:AN19" si="20">I5</f>
        <v>10</v>
      </c>
      <c r="AB19" s="16">
        <f t="shared" si="20"/>
        <v>10</v>
      </c>
      <c r="AC19" s="16">
        <f t="shared" si="20"/>
        <v>10</v>
      </c>
      <c r="AD19" s="16">
        <f t="shared" si="20"/>
        <v>10</v>
      </c>
      <c r="AE19" s="16">
        <f t="shared" si="20"/>
        <v>10</v>
      </c>
      <c r="AF19" s="16">
        <f t="shared" si="20"/>
        <v>10</v>
      </c>
      <c r="AG19" s="16">
        <f t="shared" si="20"/>
        <v>10</v>
      </c>
      <c r="AH19" s="16">
        <f t="shared" si="20"/>
        <v>10</v>
      </c>
      <c r="AI19" s="16">
        <f t="shared" si="20"/>
        <v>10</v>
      </c>
      <c r="AJ19" s="16">
        <f t="shared" si="20"/>
        <v>10</v>
      </c>
      <c r="AK19" s="16">
        <f t="shared" si="20"/>
        <v>10</v>
      </c>
      <c r="AL19" s="16">
        <f t="shared" si="20"/>
        <v>10</v>
      </c>
      <c r="AM19" s="16">
        <f t="shared" si="20"/>
        <v>10</v>
      </c>
      <c r="AN19" s="16">
        <f t="shared" si="20"/>
        <v>10</v>
      </c>
    </row>
    <row r="20" spans="7:40" x14ac:dyDescent="0.25">
      <c r="G20" s="9">
        <f t="shared" si="19"/>
        <v>1.7999999999999998</v>
      </c>
      <c r="H20" s="22">
        <v>8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3">
        <v>9</v>
      </c>
      <c r="W20" s="21"/>
      <c r="Y20" s="17" t="s">
        <v>5</v>
      </c>
      <c r="Z20" s="16">
        <f>H30</f>
        <v>0</v>
      </c>
      <c r="AA20" s="16">
        <f t="shared" ref="AA20:AN20" si="21">I30</f>
        <v>0.2</v>
      </c>
      <c r="AB20" s="16">
        <f t="shared" si="21"/>
        <v>0.4</v>
      </c>
      <c r="AC20" s="16">
        <f t="shared" si="21"/>
        <v>0.60000000000000009</v>
      </c>
      <c r="AD20" s="16">
        <f t="shared" si="21"/>
        <v>0.8</v>
      </c>
      <c r="AE20" s="16">
        <f t="shared" si="21"/>
        <v>1</v>
      </c>
      <c r="AF20" s="16">
        <f t="shared" si="21"/>
        <v>1.2</v>
      </c>
      <c r="AG20" s="16">
        <f t="shared" si="21"/>
        <v>1.4</v>
      </c>
      <c r="AH20" s="16">
        <f t="shared" si="21"/>
        <v>1.5999999999999999</v>
      </c>
      <c r="AI20" s="16">
        <f t="shared" si="21"/>
        <v>1.7999999999999998</v>
      </c>
      <c r="AJ20" s="16">
        <f t="shared" si="21"/>
        <v>1.9999999999999998</v>
      </c>
      <c r="AK20" s="16">
        <f t="shared" si="21"/>
        <v>2.1999999999999997</v>
      </c>
      <c r="AL20" s="16">
        <f t="shared" si="21"/>
        <v>2.4</v>
      </c>
      <c r="AM20" s="16">
        <f t="shared" si="21"/>
        <v>2.6</v>
      </c>
      <c r="AN20" s="16">
        <f t="shared" si="21"/>
        <v>2.8000000000000003</v>
      </c>
    </row>
    <row r="21" spans="7:40" x14ac:dyDescent="0.25">
      <c r="G21" s="9">
        <f t="shared" si="19"/>
        <v>1.5999999999999999</v>
      </c>
      <c r="H21" s="22">
        <v>6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3">
        <v>8</v>
      </c>
      <c r="W21" s="21"/>
      <c r="Y21" s="17" t="s">
        <v>7</v>
      </c>
      <c r="Z21" s="16">
        <f>$G$19</f>
        <v>1.9999999999999998</v>
      </c>
      <c r="AA21" s="16">
        <f t="shared" ref="AA21:AN21" si="22">$G$19</f>
        <v>1.9999999999999998</v>
      </c>
      <c r="AB21" s="16">
        <f t="shared" si="22"/>
        <v>1.9999999999999998</v>
      </c>
      <c r="AC21" s="16">
        <f t="shared" si="22"/>
        <v>1.9999999999999998</v>
      </c>
      <c r="AD21" s="16">
        <f t="shared" si="22"/>
        <v>1.9999999999999998</v>
      </c>
      <c r="AE21" s="16">
        <f t="shared" si="22"/>
        <v>1.9999999999999998</v>
      </c>
      <c r="AF21" s="16">
        <f t="shared" si="22"/>
        <v>1.9999999999999998</v>
      </c>
      <c r="AG21" s="16">
        <f t="shared" si="22"/>
        <v>1.9999999999999998</v>
      </c>
      <c r="AH21" s="16">
        <f t="shared" si="22"/>
        <v>1.9999999999999998</v>
      </c>
      <c r="AI21" s="16">
        <f t="shared" si="22"/>
        <v>1.9999999999999998</v>
      </c>
      <c r="AJ21" s="16">
        <f t="shared" si="22"/>
        <v>1.9999999999999998</v>
      </c>
      <c r="AK21" s="16">
        <f t="shared" si="22"/>
        <v>1.9999999999999998</v>
      </c>
      <c r="AL21" s="16">
        <f t="shared" si="22"/>
        <v>1.9999999999999998</v>
      </c>
      <c r="AM21" s="16">
        <f t="shared" si="22"/>
        <v>1.9999999999999998</v>
      </c>
      <c r="AN21" s="16">
        <f t="shared" si="22"/>
        <v>1.9999999999999998</v>
      </c>
    </row>
    <row r="22" spans="7:40" x14ac:dyDescent="0.25">
      <c r="G22" s="9">
        <f t="shared" si="19"/>
        <v>1.4</v>
      </c>
      <c r="H22" s="22">
        <v>4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3">
        <v>7</v>
      </c>
      <c r="W22" s="21"/>
      <c r="Y22" s="17" t="s">
        <v>8</v>
      </c>
      <c r="Z22" s="16">
        <f>H34</f>
        <v>10</v>
      </c>
      <c r="AA22" s="16">
        <f t="shared" ref="AA22:AN22" si="23">I34</f>
        <v>21.25</v>
      </c>
      <c r="AB22" s="16">
        <f t="shared" si="23"/>
        <v>25</v>
      </c>
      <c r="AC22" s="16">
        <f t="shared" si="23"/>
        <v>25</v>
      </c>
      <c r="AD22" s="16">
        <f t="shared" si="23"/>
        <v>25</v>
      </c>
      <c r="AE22" s="16">
        <f t="shared" si="23"/>
        <v>25</v>
      </c>
      <c r="AF22" s="16">
        <f t="shared" si="23"/>
        <v>25</v>
      </c>
      <c r="AG22" s="16">
        <f t="shared" si="23"/>
        <v>25</v>
      </c>
      <c r="AH22" s="16">
        <f t="shared" si="23"/>
        <v>25</v>
      </c>
      <c r="AI22" s="16">
        <f t="shared" si="23"/>
        <v>25</v>
      </c>
      <c r="AJ22" s="16">
        <f t="shared" si="23"/>
        <v>25</v>
      </c>
      <c r="AK22" s="16">
        <f t="shared" si="23"/>
        <v>25</v>
      </c>
      <c r="AL22" s="16">
        <f t="shared" si="23"/>
        <v>25</v>
      </c>
      <c r="AM22" s="16">
        <f t="shared" si="23"/>
        <v>20</v>
      </c>
      <c r="AN22" s="16">
        <f t="shared" si="23"/>
        <v>5</v>
      </c>
    </row>
    <row r="23" spans="7:40" x14ac:dyDescent="0.25">
      <c r="G23" s="9">
        <f t="shared" si="19"/>
        <v>1.2</v>
      </c>
      <c r="H23" s="22">
        <v>2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3">
        <v>6</v>
      </c>
      <c r="W23" s="21"/>
      <c r="Y23" s="17" t="s">
        <v>10</v>
      </c>
      <c r="Z23" s="16">
        <f>H47</f>
        <v>0</v>
      </c>
      <c r="AA23" s="16">
        <f t="shared" ref="AA23:AN23" si="24">I47</f>
        <v>0</v>
      </c>
      <c r="AB23" s="16">
        <f t="shared" si="24"/>
        <v>0</v>
      </c>
      <c r="AC23" s="16">
        <f t="shared" si="24"/>
        <v>0</v>
      </c>
      <c r="AD23" s="16">
        <f t="shared" si="24"/>
        <v>0</v>
      </c>
      <c r="AE23" s="16">
        <f t="shared" si="24"/>
        <v>0</v>
      </c>
      <c r="AF23" s="16">
        <f t="shared" si="24"/>
        <v>0</v>
      </c>
      <c r="AG23" s="16">
        <f t="shared" si="24"/>
        <v>0</v>
      </c>
      <c r="AH23" s="16">
        <f t="shared" si="24"/>
        <v>0</v>
      </c>
      <c r="AI23" s="16">
        <f t="shared" si="24"/>
        <v>0</v>
      </c>
      <c r="AJ23" s="16">
        <f t="shared" si="24"/>
        <v>0</v>
      </c>
      <c r="AK23" s="16">
        <f t="shared" si="24"/>
        <v>0</v>
      </c>
      <c r="AL23" s="16">
        <f t="shared" si="24"/>
        <v>0</v>
      </c>
      <c r="AM23" s="16">
        <f t="shared" si="24"/>
        <v>0</v>
      </c>
      <c r="AN23" s="16">
        <f t="shared" si="24"/>
        <v>0</v>
      </c>
    </row>
    <row r="24" spans="7:40" x14ac:dyDescent="0.25">
      <c r="G24" s="9">
        <f t="shared" si="19"/>
        <v>1</v>
      </c>
      <c r="H24" s="22">
        <v>0</v>
      </c>
      <c r="I24" s="23">
        <v>0</v>
      </c>
      <c r="J24" s="23">
        <v>0</v>
      </c>
      <c r="K24" s="23">
        <v>0</v>
      </c>
      <c r="L24" s="23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3">
        <v>5</v>
      </c>
      <c r="W24" s="21"/>
      <c r="Y24" s="17" t="s">
        <v>12</v>
      </c>
      <c r="Z24" s="16">
        <f>((Z22)^2+(Z23)^2)^0.5</f>
        <v>10</v>
      </c>
      <c r="AA24" s="16">
        <f t="shared" ref="AA24:AN24" si="25">((AA22)^2+(AA23)^2)^0.5</f>
        <v>21.25</v>
      </c>
      <c r="AB24" s="16">
        <f t="shared" si="25"/>
        <v>25</v>
      </c>
      <c r="AC24" s="16">
        <f t="shared" si="25"/>
        <v>25</v>
      </c>
      <c r="AD24" s="16">
        <f t="shared" si="25"/>
        <v>25</v>
      </c>
      <c r="AE24" s="16">
        <f t="shared" si="25"/>
        <v>25</v>
      </c>
      <c r="AF24" s="16">
        <f t="shared" si="25"/>
        <v>25</v>
      </c>
      <c r="AG24" s="16">
        <f t="shared" si="25"/>
        <v>25</v>
      </c>
      <c r="AH24" s="16">
        <f t="shared" si="25"/>
        <v>25</v>
      </c>
      <c r="AI24" s="16">
        <f t="shared" si="25"/>
        <v>25</v>
      </c>
      <c r="AJ24" s="16">
        <f t="shared" si="25"/>
        <v>25</v>
      </c>
      <c r="AK24" s="16">
        <f t="shared" si="25"/>
        <v>25</v>
      </c>
      <c r="AL24" s="16">
        <f t="shared" si="25"/>
        <v>25</v>
      </c>
      <c r="AM24" s="16">
        <f t="shared" si="25"/>
        <v>20</v>
      </c>
      <c r="AN24" s="16">
        <f t="shared" si="25"/>
        <v>5</v>
      </c>
    </row>
    <row r="25" spans="7:40" x14ac:dyDescent="0.25">
      <c r="G25" s="9">
        <f t="shared" si="19"/>
        <v>0.8</v>
      </c>
      <c r="H25" s="5"/>
      <c r="I25" s="5"/>
      <c r="J25" s="5"/>
      <c r="K25" s="5"/>
      <c r="L25" s="5"/>
      <c r="M25" s="23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3">
        <v>4</v>
      </c>
      <c r="W25" s="21"/>
      <c r="Y25" s="17" t="s">
        <v>14</v>
      </c>
      <c r="Z25" s="18">
        <f>B5</f>
        <v>101325</v>
      </c>
      <c r="AA25" s="18">
        <f>(Z25+(Z24^2)/2)-(AA24^2)/2</f>
        <v>101149.21875</v>
      </c>
      <c r="AB25" s="18">
        <f t="shared" ref="AB25:AN25" si="26">(AA25+(AA24^2)/2)-(AB24^2)/2</f>
        <v>101062.5</v>
      </c>
      <c r="AC25" s="18">
        <f t="shared" si="26"/>
        <v>101062.5</v>
      </c>
      <c r="AD25" s="18">
        <f t="shared" si="26"/>
        <v>101062.5</v>
      </c>
      <c r="AE25" s="18">
        <f t="shared" si="26"/>
        <v>101062.5</v>
      </c>
      <c r="AF25" s="18">
        <f t="shared" si="26"/>
        <v>101062.5</v>
      </c>
      <c r="AG25" s="18">
        <f t="shared" si="26"/>
        <v>101062.5</v>
      </c>
      <c r="AH25" s="18">
        <f t="shared" si="26"/>
        <v>101062.5</v>
      </c>
      <c r="AI25" s="18">
        <f t="shared" si="26"/>
        <v>101062.5</v>
      </c>
      <c r="AJ25" s="18">
        <f t="shared" si="26"/>
        <v>101062.5</v>
      </c>
      <c r="AK25" s="18">
        <f t="shared" si="26"/>
        <v>101062.5</v>
      </c>
      <c r="AL25" s="18">
        <f t="shared" si="26"/>
        <v>101062.5</v>
      </c>
      <c r="AM25" s="18">
        <f t="shared" si="26"/>
        <v>101175</v>
      </c>
      <c r="AN25" s="18">
        <f t="shared" si="26"/>
        <v>101362.5</v>
      </c>
    </row>
    <row r="26" spans="7:40" x14ac:dyDescent="0.25">
      <c r="G26" s="9">
        <f t="shared" si="19"/>
        <v>0.60000000000000009</v>
      </c>
      <c r="H26" s="5"/>
      <c r="I26" s="5"/>
      <c r="J26" s="5"/>
      <c r="K26" s="5"/>
      <c r="L26" s="5"/>
      <c r="M26" s="5"/>
      <c r="N26" s="23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>
        <v>0</v>
      </c>
      <c r="V26" s="23">
        <v>3</v>
      </c>
      <c r="W26" s="21"/>
      <c r="Y26" s="17" t="s">
        <v>16</v>
      </c>
      <c r="Z26" s="16">
        <f>(Z25-$B$5)/(($B$4^2)/2)</f>
        <v>0</v>
      </c>
      <c r="AA26" s="16">
        <f t="shared" ref="AA26:AN26" si="27">(AA25-$B$5)/(($B$4^2)/2)</f>
        <v>-3.515625</v>
      </c>
      <c r="AB26" s="16">
        <f t="shared" si="27"/>
        <v>-5.25</v>
      </c>
      <c r="AC26" s="16">
        <f t="shared" si="27"/>
        <v>-5.25</v>
      </c>
      <c r="AD26" s="16">
        <f t="shared" si="27"/>
        <v>-5.25</v>
      </c>
      <c r="AE26" s="16">
        <f t="shared" si="27"/>
        <v>-5.25</v>
      </c>
      <c r="AF26" s="16">
        <f t="shared" si="27"/>
        <v>-5.25</v>
      </c>
      <c r="AG26" s="16">
        <f t="shared" si="27"/>
        <v>-5.25</v>
      </c>
      <c r="AH26" s="16">
        <f t="shared" si="27"/>
        <v>-5.25</v>
      </c>
      <c r="AI26" s="16">
        <f t="shared" si="27"/>
        <v>-5.25</v>
      </c>
      <c r="AJ26" s="16">
        <f t="shared" si="27"/>
        <v>-5.25</v>
      </c>
      <c r="AK26" s="16">
        <f t="shared" si="27"/>
        <v>-5.25</v>
      </c>
      <c r="AL26" s="16">
        <f t="shared" si="27"/>
        <v>-5.25</v>
      </c>
      <c r="AM26" s="16">
        <f t="shared" si="27"/>
        <v>-3</v>
      </c>
      <c r="AN26" s="16">
        <f t="shared" si="27"/>
        <v>0.75</v>
      </c>
    </row>
    <row r="27" spans="7:40" x14ac:dyDescent="0.25">
      <c r="G27" s="9">
        <f t="shared" si="19"/>
        <v>0.4</v>
      </c>
      <c r="H27" s="5"/>
      <c r="I27" s="5"/>
      <c r="J27" s="5"/>
      <c r="K27" s="5"/>
      <c r="L27" s="5"/>
      <c r="M27" s="5"/>
      <c r="N27" s="5"/>
      <c r="O27" s="23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3">
        <v>2</v>
      </c>
      <c r="W27" s="21"/>
    </row>
    <row r="28" spans="7:40" x14ac:dyDescent="0.25">
      <c r="G28" s="9">
        <f>G29+B$2</f>
        <v>0.2</v>
      </c>
      <c r="H28" s="5"/>
      <c r="I28" s="5"/>
      <c r="J28" s="5"/>
      <c r="K28" s="5"/>
      <c r="L28" s="5"/>
      <c r="M28" s="5"/>
      <c r="N28" s="5"/>
      <c r="O28" s="5"/>
      <c r="P28" s="23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3">
        <v>1</v>
      </c>
      <c r="W28" s="21"/>
    </row>
    <row r="29" spans="7:40" x14ac:dyDescent="0.25">
      <c r="G29" s="9">
        <v>0</v>
      </c>
      <c r="H29" s="5"/>
      <c r="I29" s="5"/>
      <c r="J29" s="5"/>
      <c r="K29" s="5"/>
      <c r="L29" s="5"/>
      <c r="M29" s="5"/>
      <c r="N29" s="5"/>
      <c r="O29" s="5"/>
      <c r="P29" s="5"/>
      <c r="Q29" s="25">
        <v>0</v>
      </c>
      <c r="R29" s="25">
        <v>0</v>
      </c>
      <c r="S29" s="25">
        <v>0</v>
      </c>
      <c r="T29" s="25">
        <v>0</v>
      </c>
      <c r="U29" s="25">
        <v>0</v>
      </c>
      <c r="V29" s="23">
        <v>0</v>
      </c>
      <c r="W29" s="21"/>
    </row>
    <row r="30" spans="7:40" x14ac:dyDescent="0.25">
      <c r="G30" s="5"/>
      <c r="H30" s="9">
        <v>0</v>
      </c>
      <c r="I30" s="9">
        <f>H30+$B$2</f>
        <v>0.2</v>
      </c>
      <c r="J30" s="9">
        <f t="shared" ref="J30:V30" si="28">I30+$B$2</f>
        <v>0.4</v>
      </c>
      <c r="K30" s="9">
        <f t="shared" si="28"/>
        <v>0.60000000000000009</v>
      </c>
      <c r="L30" s="9">
        <f t="shared" si="28"/>
        <v>0.8</v>
      </c>
      <c r="M30" s="9">
        <f t="shared" si="28"/>
        <v>1</v>
      </c>
      <c r="N30" s="9">
        <f t="shared" si="28"/>
        <v>1.2</v>
      </c>
      <c r="O30" s="9">
        <f t="shared" si="28"/>
        <v>1.4</v>
      </c>
      <c r="P30" s="9">
        <f t="shared" si="28"/>
        <v>1.5999999999999999</v>
      </c>
      <c r="Q30" s="9">
        <f t="shared" si="28"/>
        <v>1.7999999999999998</v>
      </c>
      <c r="R30" s="9">
        <f t="shared" si="28"/>
        <v>1.9999999999999998</v>
      </c>
      <c r="S30" s="9">
        <f t="shared" si="28"/>
        <v>2.1999999999999997</v>
      </c>
      <c r="T30" s="9">
        <f t="shared" si="28"/>
        <v>2.4</v>
      </c>
      <c r="U30" s="9">
        <f t="shared" si="28"/>
        <v>2.6</v>
      </c>
      <c r="V30" s="9">
        <f t="shared" si="28"/>
        <v>2.8000000000000003</v>
      </c>
      <c r="W30" s="21"/>
    </row>
    <row r="31" spans="7:40" x14ac:dyDescent="0.25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26"/>
    </row>
    <row r="32" spans="7:40" x14ac:dyDescent="0.25">
      <c r="G32" s="5"/>
      <c r="H32" s="6">
        <v>1</v>
      </c>
      <c r="I32" s="6">
        <v>2</v>
      </c>
      <c r="J32" s="6">
        <v>3</v>
      </c>
      <c r="K32" s="6">
        <v>4</v>
      </c>
      <c r="L32" s="6">
        <v>5</v>
      </c>
      <c r="M32" s="6">
        <v>6</v>
      </c>
      <c r="N32" s="6">
        <v>7</v>
      </c>
      <c r="O32" s="6">
        <v>8</v>
      </c>
      <c r="P32" s="6">
        <v>9</v>
      </c>
      <c r="Q32" s="6">
        <v>10</v>
      </c>
      <c r="R32" s="6">
        <v>11</v>
      </c>
      <c r="S32" s="6">
        <v>12</v>
      </c>
      <c r="T32" s="6">
        <v>13</v>
      </c>
      <c r="U32" s="6">
        <v>14</v>
      </c>
      <c r="V32" s="6">
        <v>15</v>
      </c>
      <c r="W32" s="21"/>
    </row>
    <row r="33" spans="6:23" x14ac:dyDescent="0.25">
      <c r="F33" s="27" t="s">
        <v>8</v>
      </c>
      <c r="G33" s="9">
        <f t="shared" ref="G33:G41" si="29">G34+B$2</f>
        <v>1.9999999999999998</v>
      </c>
      <c r="H33" s="22">
        <f>(H5-H6)/$B$2</f>
        <v>10</v>
      </c>
      <c r="I33" s="22">
        <f t="shared" ref="I33:V33" si="30">(I5-I6)/$B$2</f>
        <v>27.5</v>
      </c>
      <c r="J33" s="22">
        <f t="shared" si="30"/>
        <v>37.5</v>
      </c>
      <c r="K33" s="22">
        <f t="shared" si="30"/>
        <v>37.5</v>
      </c>
      <c r="L33" s="22">
        <f t="shared" si="30"/>
        <v>37.5</v>
      </c>
      <c r="M33" s="22">
        <f t="shared" si="30"/>
        <v>37.5</v>
      </c>
      <c r="N33" s="22">
        <f t="shared" si="30"/>
        <v>37.5</v>
      </c>
      <c r="O33" s="22">
        <f t="shared" si="30"/>
        <v>37.5</v>
      </c>
      <c r="P33" s="22">
        <f t="shared" si="30"/>
        <v>37.5</v>
      </c>
      <c r="Q33" s="22">
        <f t="shared" si="30"/>
        <v>37.5</v>
      </c>
      <c r="R33" s="22">
        <f t="shared" si="30"/>
        <v>37.5</v>
      </c>
      <c r="S33" s="22">
        <f t="shared" si="30"/>
        <v>37.5</v>
      </c>
      <c r="T33" s="22">
        <f t="shared" si="30"/>
        <v>37.5</v>
      </c>
      <c r="U33" s="22">
        <f t="shared" si="30"/>
        <v>26.25</v>
      </c>
      <c r="V33" s="23">
        <f t="shared" si="30"/>
        <v>5</v>
      </c>
      <c r="W33" s="21"/>
    </row>
    <row r="34" spans="6:23" x14ac:dyDescent="0.25">
      <c r="G34" s="9">
        <f t="shared" si="29"/>
        <v>1.7999999999999998</v>
      </c>
      <c r="H34" s="28">
        <f>(H5-H7)/(2*$B$2)</f>
        <v>10</v>
      </c>
      <c r="I34" s="24">
        <f>(I5-I7)/(2*$B$2)</f>
        <v>21.25</v>
      </c>
      <c r="J34" s="24">
        <f t="shared" ref="J34:U41" si="31">(J5-J7)/(2*$B$2)</f>
        <v>25</v>
      </c>
      <c r="K34" s="24">
        <f t="shared" si="31"/>
        <v>25</v>
      </c>
      <c r="L34" s="24">
        <f t="shared" si="31"/>
        <v>25</v>
      </c>
      <c r="M34" s="24">
        <f t="shared" si="31"/>
        <v>25</v>
      </c>
      <c r="N34" s="24">
        <f t="shared" si="31"/>
        <v>25</v>
      </c>
      <c r="O34" s="24">
        <f t="shared" si="31"/>
        <v>25</v>
      </c>
      <c r="P34" s="24">
        <f t="shared" si="31"/>
        <v>25</v>
      </c>
      <c r="Q34" s="24">
        <f t="shared" si="31"/>
        <v>25</v>
      </c>
      <c r="R34" s="24">
        <f t="shared" si="31"/>
        <v>25</v>
      </c>
      <c r="S34" s="24">
        <f t="shared" si="31"/>
        <v>25</v>
      </c>
      <c r="T34" s="24">
        <f t="shared" si="31"/>
        <v>25</v>
      </c>
      <c r="U34" s="24">
        <f t="shared" si="31"/>
        <v>20</v>
      </c>
      <c r="V34" s="29">
        <f>(V5-V7)/(2*$B$2)</f>
        <v>5</v>
      </c>
      <c r="W34" s="21"/>
    </row>
    <row r="35" spans="6:23" x14ac:dyDescent="0.25">
      <c r="G35" s="9">
        <f t="shared" si="29"/>
        <v>1.5999999999999999</v>
      </c>
      <c r="H35" s="28">
        <f t="shared" ref="H35:V42" si="32">(H6-H8)/(2*$B$2)</f>
        <v>10</v>
      </c>
      <c r="I35" s="24">
        <f t="shared" si="32"/>
        <v>8.75</v>
      </c>
      <c r="J35" s="24">
        <f t="shared" si="32"/>
        <v>6.25</v>
      </c>
      <c r="K35" s="24">
        <f t="shared" si="32"/>
        <v>6.25</v>
      </c>
      <c r="L35" s="24">
        <f t="shared" si="32"/>
        <v>6.25</v>
      </c>
      <c r="M35" s="24">
        <f t="shared" si="31"/>
        <v>6.25</v>
      </c>
      <c r="N35" s="24">
        <f t="shared" si="31"/>
        <v>6.25</v>
      </c>
      <c r="O35" s="24">
        <f t="shared" si="32"/>
        <v>6.25</v>
      </c>
      <c r="P35" s="24">
        <f t="shared" si="32"/>
        <v>6.25</v>
      </c>
      <c r="Q35" s="24">
        <f t="shared" si="32"/>
        <v>6.25</v>
      </c>
      <c r="R35" s="24">
        <f t="shared" si="32"/>
        <v>6.25</v>
      </c>
      <c r="S35" s="24">
        <f t="shared" si="32"/>
        <v>6.25</v>
      </c>
      <c r="T35" s="24">
        <f t="shared" si="32"/>
        <v>6.25</v>
      </c>
      <c r="U35" s="24">
        <f t="shared" si="32"/>
        <v>7.5</v>
      </c>
      <c r="V35" s="29">
        <f t="shared" si="32"/>
        <v>5</v>
      </c>
      <c r="W35" s="21"/>
    </row>
    <row r="36" spans="6:23" x14ac:dyDescent="0.25">
      <c r="G36" s="9">
        <f t="shared" si="29"/>
        <v>1.4</v>
      </c>
      <c r="H36" s="28">
        <f t="shared" si="32"/>
        <v>10</v>
      </c>
      <c r="I36" s="24">
        <f t="shared" si="32"/>
        <v>2.5</v>
      </c>
      <c r="J36" s="24">
        <f t="shared" si="32"/>
        <v>0</v>
      </c>
      <c r="K36" s="24">
        <f t="shared" si="32"/>
        <v>0</v>
      </c>
      <c r="L36" s="24">
        <f t="shared" si="32"/>
        <v>0</v>
      </c>
      <c r="M36" s="24">
        <f t="shared" si="32"/>
        <v>0</v>
      </c>
      <c r="N36" s="24">
        <f t="shared" si="31"/>
        <v>0</v>
      </c>
      <c r="O36" s="24">
        <f t="shared" si="31"/>
        <v>0</v>
      </c>
      <c r="P36" s="24">
        <f t="shared" si="32"/>
        <v>0</v>
      </c>
      <c r="Q36" s="24">
        <f t="shared" si="32"/>
        <v>0</v>
      </c>
      <c r="R36" s="24">
        <f t="shared" si="32"/>
        <v>0</v>
      </c>
      <c r="S36" s="24">
        <f t="shared" si="32"/>
        <v>0</v>
      </c>
      <c r="T36" s="24">
        <f t="shared" si="32"/>
        <v>0</v>
      </c>
      <c r="U36" s="24">
        <f t="shared" si="32"/>
        <v>1.25</v>
      </c>
      <c r="V36" s="29">
        <f t="shared" si="32"/>
        <v>5</v>
      </c>
      <c r="W36" s="21"/>
    </row>
    <row r="37" spans="6:23" x14ac:dyDescent="0.25">
      <c r="G37" s="9">
        <f t="shared" si="29"/>
        <v>1.2</v>
      </c>
      <c r="H37" s="28">
        <f t="shared" si="32"/>
        <v>10</v>
      </c>
      <c r="I37" s="24">
        <f t="shared" si="32"/>
        <v>2.5</v>
      </c>
      <c r="J37" s="24">
        <f t="shared" si="32"/>
        <v>0</v>
      </c>
      <c r="K37" s="24">
        <f t="shared" si="32"/>
        <v>0</v>
      </c>
      <c r="L37" s="30">
        <f t="shared" si="32"/>
        <v>0</v>
      </c>
      <c r="M37" s="24">
        <f t="shared" si="32"/>
        <v>0</v>
      </c>
      <c r="N37" s="24">
        <f t="shared" si="31"/>
        <v>0</v>
      </c>
      <c r="O37" s="24">
        <f t="shared" si="31"/>
        <v>0</v>
      </c>
      <c r="P37" s="24">
        <f t="shared" si="32"/>
        <v>0</v>
      </c>
      <c r="Q37" s="24">
        <f t="shared" si="32"/>
        <v>0</v>
      </c>
      <c r="R37" s="24">
        <f t="shared" si="32"/>
        <v>0</v>
      </c>
      <c r="S37" s="24">
        <f t="shared" si="32"/>
        <v>0</v>
      </c>
      <c r="T37" s="24">
        <f t="shared" si="32"/>
        <v>0</v>
      </c>
      <c r="U37" s="24">
        <f t="shared" si="32"/>
        <v>1.25</v>
      </c>
      <c r="V37" s="29">
        <f t="shared" si="32"/>
        <v>5</v>
      </c>
      <c r="W37" s="21"/>
    </row>
    <row r="38" spans="6:23" x14ac:dyDescent="0.25">
      <c r="G38" s="9">
        <f t="shared" si="29"/>
        <v>1</v>
      </c>
      <c r="H38" s="22">
        <f>(H9-H10)/($B$2)</f>
        <v>10</v>
      </c>
      <c r="I38" s="22">
        <f t="shared" ref="I38:U43" si="33">(I9-I10)/($B$2)</f>
        <v>2.5</v>
      </c>
      <c r="J38" s="22">
        <f t="shared" si="33"/>
        <v>0</v>
      </c>
      <c r="K38" s="31">
        <f t="shared" si="33"/>
        <v>0</v>
      </c>
      <c r="L38" s="23">
        <f t="shared" si="33"/>
        <v>0</v>
      </c>
      <c r="M38" s="32">
        <f t="shared" si="32"/>
        <v>0</v>
      </c>
      <c r="N38" s="24">
        <f>(N9-N11)/(2*$B$2)</f>
        <v>0</v>
      </c>
      <c r="O38" s="24">
        <f t="shared" si="31"/>
        <v>0</v>
      </c>
      <c r="P38" s="24">
        <f t="shared" si="31"/>
        <v>0</v>
      </c>
      <c r="Q38" s="24">
        <f t="shared" si="32"/>
        <v>0</v>
      </c>
      <c r="R38" s="24">
        <f t="shared" si="32"/>
        <v>0</v>
      </c>
      <c r="S38" s="24">
        <f t="shared" si="32"/>
        <v>0</v>
      </c>
      <c r="T38" s="24">
        <f t="shared" si="32"/>
        <v>0</v>
      </c>
      <c r="U38" s="24">
        <f t="shared" si="32"/>
        <v>1.25</v>
      </c>
      <c r="V38" s="29">
        <f t="shared" si="32"/>
        <v>5</v>
      </c>
      <c r="W38" s="21"/>
    </row>
    <row r="39" spans="6:23" x14ac:dyDescent="0.25">
      <c r="G39" s="9">
        <f t="shared" si="29"/>
        <v>0.8</v>
      </c>
      <c r="H39" s="5"/>
      <c r="I39" s="5"/>
      <c r="J39" s="5"/>
      <c r="K39" s="5"/>
      <c r="L39" s="33"/>
      <c r="M39" s="23">
        <f t="shared" si="33"/>
        <v>0</v>
      </c>
      <c r="N39" s="24">
        <f t="shared" ref="N39" si="34">(N10-N12)/(2*$B$2)</f>
        <v>0</v>
      </c>
      <c r="O39" s="24">
        <f t="shared" si="31"/>
        <v>0</v>
      </c>
      <c r="P39" s="24">
        <f t="shared" si="31"/>
        <v>0</v>
      </c>
      <c r="Q39" s="24">
        <f t="shared" si="32"/>
        <v>0</v>
      </c>
      <c r="R39" s="24">
        <f t="shared" si="32"/>
        <v>0</v>
      </c>
      <c r="S39" s="24">
        <f t="shared" si="32"/>
        <v>0</v>
      </c>
      <c r="T39" s="24">
        <f t="shared" si="32"/>
        <v>0</v>
      </c>
      <c r="U39" s="24">
        <f t="shared" si="32"/>
        <v>1.25</v>
      </c>
      <c r="V39" s="29">
        <f t="shared" si="32"/>
        <v>5</v>
      </c>
      <c r="W39" s="21"/>
    </row>
    <row r="40" spans="6:23" x14ac:dyDescent="0.25">
      <c r="G40" s="9">
        <f t="shared" si="29"/>
        <v>0.60000000000000009</v>
      </c>
      <c r="H40" s="5"/>
      <c r="I40" s="5"/>
      <c r="J40" s="5"/>
      <c r="K40" s="5"/>
      <c r="L40" s="5"/>
      <c r="M40" s="33"/>
      <c r="N40" s="23">
        <f t="shared" si="33"/>
        <v>0</v>
      </c>
      <c r="O40" s="24">
        <f t="shared" si="31"/>
        <v>0</v>
      </c>
      <c r="P40" s="24">
        <f t="shared" si="31"/>
        <v>0</v>
      </c>
      <c r="Q40" s="24">
        <f t="shared" si="32"/>
        <v>0</v>
      </c>
      <c r="R40" s="24">
        <f t="shared" si="32"/>
        <v>0</v>
      </c>
      <c r="S40" s="24">
        <f t="shared" si="32"/>
        <v>0</v>
      </c>
      <c r="T40" s="24">
        <f t="shared" si="32"/>
        <v>0</v>
      </c>
      <c r="U40" s="24">
        <f t="shared" si="32"/>
        <v>1.25</v>
      </c>
      <c r="V40" s="29">
        <f t="shared" si="32"/>
        <v>5</v>
      </c>
      <c r="W40" s="21"/>
    </row>
    <row r="41" spans="6:23" x14ac:dyDescent="0.25">
      <c r="G41" s="9">
        <f t="shared" si="29"/>
        <v>0.4</v>
      </c>
      <c r="H41" s="5"/>
      <c r="I41" s="5"/>
      <c r="J41" s="5"/>
      <c r="K41" s="5"/>
      <c r="L41" s="5"/>
      <c r="M41" s="5"/>
      <c r="N41" s="33"/>
      <c r="O41" s="23">
        <f t="shared" si="33"/>
        <v>0</v>
      </c>
      <c r="P41" s="24">
        <f t="shared" si="31"/>
        <v>0</v>
      </c>
      <c r="Q41" s="24">
        <f t="shared" si="32"/>
        <v>0</v>
      </c>
      <c r="R41" s="24">
        <f t="shared" si="32"/>
        <v>0</v>
      </c>
      <c r="S41" s="24">
        <f t="shared" si="32"/>
        <v>0</v>
      </c>
      <c r="T41" s="24">
        <f t="shared" si="32"/>
        <v>0</v>
      </c>
      <c r="U41" s="24">
        <f t="shared" si="32"/>
        <v>1.25</v>
      </c>
      <c r="V41" s="29">
        <f t="shared" si="32"/>
        <v>5</v>
      </c>
      <c r="W41" s="21"/>
    </row>
    <row r="42" spans="6:23" x14ac:dyDescent="0.25">
      <c r="G42" s="9">
        <f>G43+B$2</f>
        <v>0.2</v>
      </c>
      <c r="H42" s="5"/>
      <c r="I42" s="5"/>
      <c r="J42" s="5"/>
      <c r="K42" s="5"/>
      <c r="L42" s="5"/>
      <c r="M42" s="5"/>
      <c r="N42" s="5"/>
      <c r="O42" s="33"/>
      <c r="P42" s="23">
        <f t="shared" si="33"/>
        <v>0</v>
      </c>
      <c r="Q42" s="24">
        <f t="shared" si="32"/>
        <v>0</v>
      </c>
      <c r="R42" s="24">
        <f t="shared" si="32"/>
        <v>0</v>
      </c>
      <c r="S42" s="24">
        <f t="shared" si="32"/>
        <v>0</v>
      </c>
      <c r="T42" s="24">
        <f t="shared" si="32"/>
        <v>0</v>
      </c>
      <c r="U42" s="24">
        <f t="shared" si="32"/>
        <v>1.25</v>
      </c>
      <c r="V42" s="29">
        <f t="shared" si="32"/>
        <v>5</v>
      </c>
      <c r="W42" s="21"/>
    </row>
    <row r="43" spans="6:23" x14ac:dyDescent="0.25">
      <c r="G43" s="9">
        <v>0</v>
      </c>
      <c r="H43" s="5"/>
      <c r="I43" s="5"/>
      <c r="J43" s="5"/>
      <c r="K43" s="5"/>
      <c r="L43" s="5"/>
      <c r="M43" s="5"/>
      <c r="N43" s="5"/>
      <c r="O43" s="5"/>
      <c r="P43" s="33"/>
      <c r="Q43" s="23">
        <f t="shared" si="33"/>
        <v>0</v>
      </c>
      <c r="R43" s="22">
        <f t="shared" si="33"/>
        <v>0</v>
      </c>
      <c r="S43" s="22">
        <f t="shared" si="33"/>
        <v>0</v>
      </c>
      <c r="T43" s="22">
        <f t="shared" si="33"/>
        <v>0</v>
      </c>
      <c r="U43" s="22">
        <f t="shared" si="33"/>
        <v>1.25</v>
      </c>
      <c r="V43" s="23">
        <f>(V14-V15)/($B$2)</f>
        <v>5</v>
      </c>
      <c r="W43" s="21"/>
    </row>
    <row r="44" spans="6:23" x14ac:dyDescent="0.25">
      <c r="G44" s="5"/>
      <c r="H44" s="9">
        <v>0</v>
      </c>
      <c r="I44" s="9">
        <f>H44+$B$2</f>
        <v>0.2</v>
      </c>
      <c r="J44" s="9">
        <f t="shared" ref="J44:V44" si="35">I44+$B$2</f>
        <v>0.4</v>
      </c>
      <c r="K44" s="9">
        <f t="shared" si="35"/>
        <v>0.60000000000000009</v>
      </c>
      <c r="L44" s="9">
        <f t="shared" si="35"/>
        <v>0.8</v>
      </c>
      <c r="M44" s="9">
        <f t="shared" si="35"/>
        <v>1</v>
      </c>
      <c r="N44" s="9">
        <f t="shared" si="35"/>
        <v>1.2</v>
      </c>
      <c r="O44" s="9">
        <f t="shared" si="35"/>
        <v>1.4</v>
      </c>
      <c r="P44" s="9">
        <f t="shared" si="35"/>
        <v>1.5999999999999999</v>
      </c>
      <c r="Q44" s="9">
        <f t="shared" si="35"/>
        <v>1.7999999999999998</v>
      </c>
      <c r="R44" s="9">
        <f t="shared" si="35"/>
        <v>1.9999999999999998</v>
      </c>
      <c r="S44" s="9">
        <f t="shared" si="35"/>
        <v>2.1999999999999997</v>
      </c>
      <c r="T44" s="9">
        <f t="shared" si="35"/>
        <v>2.4</v>
      </c>
      <c r="U44" s="9">
        <f t="shared" si="35"/>
        <v>2.6</v>
      </c>
      <c r="V44" s="9">
        <f t="shared" si="35"/>
        <v>2.8000000000000003</v>
      </c>
      <c r="W44" s="21"/>
    </row>
    <row r="45" spans="6:23" x14ac:dyDescent="0.25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6:23" x14ac:dyDescent="0.25">
      <c r="F46" s="27" t="s">
        <v>10</v>
      </c>
      <c r="G46" s="5"/>
      <c r="H46" s="6">
        <v>1</v>
      </c>
      <c r="I46" s="6">
        <v>2</v>
      </c>
      <c r="J46" s="6">
        <v>3</v>
      </c>
      <c r="K46" s="6">
        <v>4</v>
      </c>
      <c r="L46" s="6">
        <v>5</v>
      </c>
      <c r="M46" s="6">
        <v>6</v>
      </c>
      <c r="N46" s="6">
        <v>7</v>
      </c>
      <c r="O46" s="6">
        <v>8</v>
      </c>
      <c r="P46" s="6">
        <v>9</v>
      </c>
      <c r="Q46" s="6">
        <v>10</v>
      </c>
      <c r="R46" s="6">
        <v>11</v>
      </c>
      <c r="S46" s="6">
        <v>12</v>
      </c>
      <c r="T46" s="6">
        <v>13</v>
      </c>
      <c r="U46" s="6">
        <v>14</v>
      </c>
      <c r="V46" s="6">
        <v>15</v>
      </c>
    </row>
    <row r="47" spans="6:23" x14ac:dyDescent="0.25">
      <c r="G47" s="9">
        <f t="shared" ref="G47:G55" si="36">G48+B$2</f>
        <v>1.9999999999999998</v>
      </c>
      <c r="H47" s="22">
        <f>(H5-I5)/$B$2</f>
        <v>0</v>
      </c>
      <c r="I47" s="22">
        <f>(I5-K5)/$B$2</f>
        <v>0</v>
      </c>
      <c r="J47" s="22">
        <f t="shared" ref="J47:T47" si="37">(J5-L5)/$B$2</f>
        <v>0</v>
      </c>
      <c r="K47" s="22">
        <f t="shared" si="37"/>
        <v>0</v>
      </c>
      <c r="L47" s="22">
        <f t="shared" si="37"/>
        <v>0</v>
      </c>
      <c r="M47" s="22">
        <f t="shared" si="37"/>
        <v>0</v>
      </c>
      <c r="N47" s="22">
        <f t="shared" si="37"/>
        <v>0</v>
      </c>
      <c r="O47" s="22">
        <f t="shared" si="37"/>
        <v>0</v>
      </c>
      <c r="P47" s="22">
        <f t="shared" si="37"/>
        <v>0</v>
      </c>
      <c r="Q47" s="22">
        <f t="shared" si="37"/>
        <v>0</v>
      </c>
      <c r="R47" s="22">
        <f t="shared" si="37"/>
        <v>0</v>
      </c>
      <c r="S47" s="22">
        <f t="shared" si="37"/>
        <v>0</v>
      </c>
      <c r="T47" s="22">
        <f t="shared" si="37"/>
        <v>0</v>
      </c>
      <c r="U47" s="22">
        <f>(U5-V5)/$B$2</f>
        <v>0</v>
      </c>
      <c r="V47" s="22">
        <f>(V5-U5)/$B$2</f>
        <v>0</v>
      </c>
    </row>
    <row r="48" spans="6:23" x14ac:dyDescent="0.25">
      <c r="G48" s="9">
        <f t="shared" si="36"/>
        <v>1.7999999999999998</v>
      </c>
      <c r="H48" s="28">
        <f t="shared" ref="H48:K52" si="38">(H6-I6)/$B$2</f>
        <v>17.5</v>
      </c>
      <c r="I48" s="24">
        <f>(H6-J6)/(2*$B$2)</f>
        <v>13.75</v>
      </c>
      <c r="J48" s="24">
        <f t="shared" ref="J48:U48" si="39">(I6-K6)/(2*$B$2)</f>
        <v>5</v>
      </c>
      <c r="K48" s="24">
        <f t="shared" si="39"/>
        <v>0</v>
      </c>
      <c r="L48" s="24">
        <f t="shared" si="39"/>
        <v>0</v>
      </c>
      <c r="M48" s="24">
        <f t="shared" si="39"/>
        <v>0</v>
      </c>
      <c r="N48" s="24">
        <f t="shared" si="39"/>
        <v>0</v>
      </c>
      <c r="O48" s="24">
        <f t="shared" si="39"/>
        <v>0</v>
      </c>
      <c r="P48" s="24">
        <f t="shared" si="39"/>
        <v>0</v>
      </c>
      <c r="Q48" s="24">
        <f t="shared" si="39"/>
        <v>0</v>
      </c>
      <c r="R48" s="24">
        <f t="shared" si="39"/>
        <v>0</v>
      </c>
      <c r="S48" s="24">
        <f t="shared" si="39"/>
        <v>0</v>
      </c>
      <c r="T48" s="24">
        <f t="shared" si="39"/>
        <v>-5.625</v>
      </c>
      <c r="U48" s="24">
        <f t="shared" si="39"/>
        <v>-16.25</v>
      </c>
      <c r="V48" s="24">
        <f>(U6-V6)/($B$2)</f>
        <v>-21.25</v>
      </c>
    </row>
    <row r="49" spans="6:22" x14ac:dyDescent="0.25">
      <c r="G49" s="9">
        <f t="shared" si="36"/>
        <v>1.5999999999999999</v>
      </c>
      <c r="H49" s="28">
        <f t="shared" si="38"/>
        <v>22.5</v>
      </c>
      <c r="I49" s="24">
        <f t="shared" ref="I49:U56" si="40">(H7-J7)/(2*$B$2)</f>
        <v>15</v>
      </c>
      <c r="J49" s="24">
        <f t="shared" si="40"/>
        <v>3.75</v>
      </c>
      <c r="K49" s="24">
        <f t="shared" si="40"/>
        <v>0</v>
      </c>
      <c r="L49" s="24">
        <f t="shared" si="40"/>
        <v>0</v>
      </c>
      <c r="M49" s="24">
        <f t="shared" si="40"/>
        <v>0</v>
      </c>
      <c r="N49" s="24">
        <f t="shared" si="40"/>
        <v>0</v>
      </c>
      <c r="O49" s="24">
        <f t="shared" si="40"/>
        <v>0</v>
      </c>
      <c r="P49" s="24">
        <f t="shared" si="40"/>
        <v>0</v>
      </c>
      <c r="Q49" s="24">
        <f t="shared" si="40"/>
        <v>0</v>
      </c>
      <c r="R49" s="24">
        <f t="shared" si="40"/>
        <v>0</v>
      </c>
      <c r="S49" s="24">
        <f t="shared" si="40"/>
        <v>0</v>
      </c>
      <c r="T49" s="24">
        <f t="shared" si="40"/>
        <v>-5</v>
      </c>
      <c r="U49" s="24">
        <f t="shared" si="40"/>
        <v>-20</v>
      </c>
      <c r="V49" s="24">
        <f t="shared" ref="V49:V57" si="41">(U7-V7)/($B$2)</f>
        <v>-30</v>
      </c>
    </row>
    <row r="50" spans="6:22" x14ac:dyDescent="0.25">
      <c r="G50" s="9">
        <f t="shared" si="36"/>
        <v>1.4</v>
      </c>
      <c r="H50" s="28">
        <f t="shared" si="38"/>
        <v>15</v>
      </c>
      <c r="I50" s="24">
        <f t="shared" si="40"/>
        <v>10</v>
      </c>
      <c r="J50" s="24">
        <f t="shared" si="40"/>
        <v>2.5</v>
      </c>
      <c r="K50" s="24">
        <f t="shared" si="40"/>
        <v>0</v>
      </c>
      <c r="L50" s="24">
        <f t="shared" si="40"/>
        <v>0</v>
      </c>
      <c r="M50" s="24">
        <f t="shared" si="40"/>
        <v>0</v>
      </c>
      <c r="N50" s="24">
        <f t="shared" si="40"/>
        <v>0</v>
      </c>
      <c r="O50" s="24">
        <f t="shared" si="40"/>
        <v>0</v>
      </c>
      <c r="P50" s="24">
        <f t="shared" si="40"/>
        <v>0</v>
      </c>
      <c r="Q50" s="24">
        <f t="shared" si="40"/>
        <v>0</v>
      </c>
      <c r="R50" s="24">
        <f t="shared" si="40"/>
        <v>0</v>
      </c>
      <c r="S50" s="24">
        <f t="shared" si="40"/>
        <v>0</v>
      </c>
      <c r="T50" s="24">
        <f t="shared" si="40"/>
        <v>-4.375</v>
      </c>
      <c r="U50" s="24">
        <f t="shared" si="40"/>
        <v>-17.5</v>
      </c>
      <c r="V50" s="24">
        <f t="shared" si="41"/>
        <v>-26.25</v>
      </c>
    </row>
    <row r="51" spans="6:22" x14ac:dyDescent="0.25">
      <c r="G51" s="9">
        <f t="shared" si="36"/>
        <v>1.2</v>
      </c>
      <c r="H51" s="28">
        <f t="shared" si="38"/>
        <v>7.5</v>
      </c>
      <c r="I51" s="24">
        <f t="shared" si="40"/>
        <v>5</v>
      </c>
      <c r="J51" s="24">
        <f t="shared" si="40"/>
        <v>1.25</v>
      </c>
      <c r="K51" s="24">
        <f t="shared" si="40"/>
        <v>0</v>
      </c>
      <c r="L51" s="24">
        <f t="shared" si="40"/>
        <v>0</v>
      </c>
      <c r="M51" s="24">
        <f t="shared" si="40"/>
        <v>0</v>
      </c>
      <c r="N51" s="24">
        <f t="shared" si="40"/>
        <v>0</v>
      </c>
      <c r="O51" s="24">
        <f t="shared" si="40"/>
        <v>0</v>
      </c>
      <c r="P51" s="24">
        <f t="shared" si="40"/>
        <v>0</v>
      </c>
      <c r="Q51" s="24">
        <f t="shared" si="40"/>
        <v>0</v>
      </c>
      <c r="R51" s="24">
        <f t="shared" si="40"/>
        <v>0</v>
      </c>
      <c r="S51" s="24">
        <f t="shared" si="40"/>
        <v>0</v>
      </c>
      <c r="T51" s="24">
        <f t="shared" si="40"/>
        <v>-3.75</v>
      </c>
      <c r="U51" s="24">
        <f t="shared" si="40"/>
        <v>-15</v>
      </c>
      <c r="V51" s="24">
        <f t="shared" si="41"/>
        <v>-22.5</v>
      </c>
    </row>
    <row r="52" spans="6:22" x14ac:dyDescent="0.25">
      <c r="G52" s="9">
        <f t="shared" si="36"/>
        <v>1</v>
      </c>
      <c r="H52" s="22">
        <f t="shared" si="38"/>
        <v>0</v>
      </c>
      <c r="I52" s="22">
        <f t="shared" si="38"/>
        <v>0</v>
      </c>
      <c r="J52" s="22">
        <f t="shared" si="38"/>
        <v>0</v>
      </c>
      <c r="K52" s="22">
        <f t="shared" si="38"/>
        <v>0</v>
      </c>
      <c r="L52" s="22">
        <f>(L10-M10)/(2*$B$2)</f>
        <v>0</v>
      </c>
      <c r="M52" s="24">
        <f t="shared" si="40"/>
        <v>0</v>
      </c>
      <c r="N52" s="24">
        <f t="shared" si="40"/>
        <v>0</v>
      </c>
      <c r="O52" s="24">
        <f t="shared" si="40"/>
        <v>0</v>
      </c>
      <c r="P52" s="24">
        <f t="shared" si="40"/>
        <v>0</v>
      </c>
      <c r="Q52" s="24">
        <f t="shared" si="40"/>
        <v>0</v>
      </c>
      <c r="R52" s="24">
        <f t="shared" si="40"/>
        <v>0</v>
      </c>
      <c r="S52" s="24">
        <f t="shared" si="40"/>
        <v>0</v>
      </c>
      <c r="T52" s="24">
        <f t="shared" si="40"/>
        <v>-3.125</v>
      </c>
      <c r="U52" s="24">
        <f t="shared" si="40"/>
        <v>-12.5</v>
      </c>
      <c r="V52" s="24">
        <f t="shared" si="41"/>
        <v>-18.75</v>
      </c>
    </row>
    <row r="53" spans="6:22" x14ac:dyDescent="0.25">
      <c r="G53" s="9">
        <f t="shared" si="36"/>
        <v>0.8</v>
      </c>
      <c r="H53" s="5"/>
      <c r="I53" s="5"/>
      <c r="J53" s="5"/>
      <c r="K53" s="5"/>
      <c r="L53" s="33"/>
      <c r="M53" s="23">
        <f>(M11-N11)/($B$2)</f>
        <v>0</v>
      </c>
      <c r="N53" s="24">
        <f t="shared" si="40"/>
        <v>0</v>
      </c>
      <c r="O53" s="24">
        <f t="shared" si="40"/>
        <v>0</v>
      </c>
      <c r="P53" s="24">
        <f t="shared" si="40"/>
        <v>0</v>
      </c>
      <c r="Q53" s="24">
        <f t="shared" si="40"/>
        <v>0</v>
      </c>
      <c r="R53" s="24">
        <f t="shared" si="40"/>
        <v>0</v>
      </c>
      <c r="S53" s="24">
        <f t="shared" si="40"/>
        <v>0</v>
      </c>
      <c r="T53" s="24">
        <f t="shared" si="40"/>
        <v>-2.5</v>
      </c>
      <c r="U53" s="24">
        <f t="shared" si="40"/>
        <v>-10</v>
      </c>
      <c r="V53" s="24">
        <f t="shared" si="41"/>
        <v>-15</v>
      </c>
    </row>
    <row r="54" spans="6:22" x14ac:dyDescent="0.25">
      <c r="G54" s="9">
        <f t="shared" si="36"/>
        <v>0.60000000000000009</v>
      </c>
      <c r="H54" s="5"/>
      <c r="I54" s="5"/>
      <c r="J54" s="5"/>
      <c r="K54" s="5"/>
      <c r="L54" s="5"/>
      <c r="M54" s="34"/>
      <c r="N54" s="23">
        <f>(N12-O12)/($B$2)</f>
        <v>0</v>
      </c>
      <c r="O54" s="24">
        <f t="shared" si="40"/>
        <v>0</v>
      </c>
      <c r="P54" s="24">
        <f t="shared" si="40"/>
        <v>0</v>
      </c>
      <c r="Q54" s="24">
        <f t="shared" si="40"/>
        <v>0</v>
      </c>
      <c r="R54" s="24">
        <f t="shared" si="40"/>
        <v>0</v>
      </c>
      <c r="S54" s="24">
        <f t="shared" si="40"/>
        <v>0</v>
      </c>
      <c r="T54" s="24">
        <f t="shared" si="40"/>
        <v>-1.875</v>
      </c>
      <c r="U54" s="24">
        <f t="shared" si="40"/>
        <v>-7.5</v>
      </c>
      <c r="V54" s="24">
        <f t="shared" si="41"/>
        <v>-11.25</v>
      </c>
    </row>
    <row r="55" spans="6:22" x14ac:dyDescent="0.25">
      <c r="G55" s="9">
        <f t="shared" si="36"/>
        <v>0.4</v>
      </c>
      <c r="H55" s="5"/>
      <c r="I55" s="5"/>
      <c r="J55" s="5"/>
      <c r="K55" s="5"/>
      <c r="L55" s="5"/>
      <c r="M55" s="5"/>
      <c r="N55" s="34"/>
      <c r="O55" s="23">
        <f>(O13-P13)/($B$2)</f>
        <v>0</v>
      </c>
      <c r="P55" s="30">
        <f t="shared" si="40"/>
        <v>0</v>
      </c>
      <c r="Q55" s="24">
        <f t="shared" si="40"/>
        <v>0</v>
      </c>
      <c r="R55" s="24">
        <f t="shared" si="40"/>
        <v>0</v>
      </c>
      <c r="S55" s="24">
        <f t="shared" si="40"/>
        <v>0</v>
      </c>
      <c r="T55" s="24">
        <f t="shared" si="40"/>
        <v>-1.25</v>
      </c>
      <c r="U55" s="24">
        <f t="shared" si="40"/>
        <v>-5</v>
      </c>
      <c r="V55" s="24">
        <f t="shared" si="41"/>
        <v>-7.5</v>
      </c>
    </row>
    <row r="56" spans="6:22" x14ac:dyDescent="0.25">
      <c r="G56" s="9">
        <f>G57+B$2</f>
        <v>0.2</v>
      </c>
      <c r="H56" s="5"/>
      <c r="I56" s="5"/>
      <c r="J56" s="5"/>
      <c r="K56" s="5"/>
      <c r="L56" s="5"/>
      <c r="M56" s="5"/>
      <c r="N56" s="5"/>
      <c r="O56" s="34"/>
      <c r="P56" s="23">
        <f>(P14-Q14)/($B$2)</f>
        <v>0</v>
      </c>
      <c r="Q56" s="35">
        <f t="shared" si="40"/>
        <v>0</v>
      </c>
      <c r="R56" s="24">
        <f t="shared" si="40"/>
        <v>0</v>
      </c>
      <c r="S56" s="24">
        <f t="shared" si="40"/>
        <v>0</v>
      </c>
      <c r="T56" s="24">
        <f t="shared" si="40"/>
        <v>-0.625</v>
      </c>
      <c r="U56" s="24">
        <f t="shared" si="40"/>
        <v>-2.5</v>
      </c>
      <c r="V56" s="24">
        <f t="shared" si="41"/>
        <v>-3.75</v>
      </c>
    </row>
    <row r="57" spans="6:22" x14ac:dyDescent="0.25">
      <c r="G57" s="9">
        <v>0</v>
      </c>
      <c r="H57" s="5"/>
      <c r="I57" s="5"/>
      <c r="J57" s="5"/>
      <c r="K57" s="5"/>
      <c r="L57" s="5"/>
      <c r="M57" s="5"/>
      <c r="N57" s="5"/>
      <c r="O57" s="5"/>
      <c r="P57" s="33"/>
      <c r="Q57" s="23">
        <f>(Q15-R15)/($B$2)</f>
        <v>0</v>
      </c>
      <c r="R57" s="22">
        <f t="shared" ref="R57:U57" si="42">(R15-S15)/($B$2)</f>
        <v>0</v>
      </c>
      <c r="S57" s="23">
        <f t="shared" si="42"/>
        <v>0</v>
      </c>
      <c r="T57" s="23">
        <f t="shared" si="42"/>
        <v>0</v>
      </c>
      <c r="U57" s="23">
        <f t="shared" si="42"/>
        <v>0</v>
      </c>
      <c r="V57" s="23">
        <f t="shared" si="41"/>
        <v>0</v>
      </c>
    </row>
    <row r="58" spans="6:22" x14ac:dyDescent="0.25">
      <c r="G58" s="5"/>
      <c r="H58" s="9">
        <v>0</v>
      </c>
      <c r="I58" s="9">
        <f>H58+$B$2</f>
        <v>0.2</v>
      </c>
      <c r="J58" s="9">
        <f t="shared" ref="J58:V58" si="43">I58+$B$2</f>
        <v>0.4</v>
      </c>
      <c r="K58" s="9">
        <f t="shared" si="43"/>
        <v>0.60000000000000009</v>
      </c>
      <c r="L58" s="9">
        <f t="shared" si="43"/>
        <v>0.8</v>
      </c>
      <c r="M58" s="9">
        <f t="shared" si="43"/>
        <v>1</v>
      </c>
      <c r="N58" s="9">
        <f t="shared" si="43"/>
        <v>1.2</v>
      </c>
      <c r="O58" s="36">
        <f t="shared" si="43"/>
        <v>1.4</v>
      </c>
      <c r="P58" s="9">
        <f t="shared" si="43"/>
        <v>1.5999999999999999</v>
      </c>
      <c r="Q58" s="9">
        <f t="shared" si="43"/>
        <v>1.7999999999999998</v>
      </c>
      <c r="R58" s="9">
        <f t="shared" si="43"/>
        <v>1.9999999999999998</v>
      </c>
      <c r="S58" s="9">
        <f t="shared" si="43"/>
        <v>2.1999999999999997</v>
      </c>
      <c r="T58" s="9">
        <f t="shared" si="43"/>
        <v>2.4</v>
      </c>
      <c r="U58" s="9">
        <f t="shared" si="43"/>
        <v>2.6</v>
      </c>
      <c r="V58" s="9">
        <f t="shared" si="43"/>
        <v>2.8000000000000003</v>
      </c>
    </row>
    <row r="59" spans="6:22" x14ac:dyDescent="0.25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</row>
    <row r="60" spans="6:22" x14ac:dyDescent="0.25">
      <c r="F60" s="27" t="s">
        <v>17</v>
      </c>
      <c r="G60" s="5"/>
      <c r="H60" s="9">
        <v>1</v>
      </c>
      <c r="I60" s="9">
        <v>2</v>
      </c>
      <c r="J60" s="9">
        <v>3</v>
      </c>
      <c r="K60" s="9">
        <v>4</v>
      </c>
      <c r="L60" s="9">
        <v>5</v>
      </c>
      <c r="M60" s="9">
        <v>6</v>
      </c>
      <c r="N60" s="9">
        <v>7</v>
      </c>
      <c r="O60" s="9">
        <v>8</v>
      </c>
      <c r="P60" s="9">
        <v>9</v>
      </c>
      <c r="Q60" s="9">
        <v>10</v>
      </c>
      <c r="R60" s="9">
        <v>11</v>
      </c>
      <c r="S60" s="9">
        <v>12</v>
      </c>
      <c r="T60" s="9">
        <v>13</v>
      </c>
      <c r="U60" s="9">
        <v>14</v>
      </c>
      <c r="V60" s="9">
        <v>15</v>
      </c>
    </row>
    <row r="61" spans="6:22" x14ac:dyDescent="0.25">
      <c r="G61" s="9">
        <f t="shared" ref="G61:G69" si="44">G62+B$2</f>
        <v>1.9999999999999998</v>
      </c>
      <c r="H61" s="22">
        <f>(H33^2+H47^2)^0.5</f>
        <v>10</v>
      </c>
      <c r="I61" s="22">
        <f t="shared" ref="I61:V61" si="45">(I33^2+I47^2)^0.5</f>
        <v>27.5</v>
      </c>
      <c r="J61" s="22">
        <f t="shared" si="45"/>
        <v>37.5</v>
      </c>
      <c r="K61" s="22">
        <f t="shared" si="45"/>
        <v>37.5</v>
      </c>
      <c r="L61" s="22">
        <f t="shared" si="45"/>
        <v>37.5</v>
      </c>
      <c r="M61" s="22">
        <f t="shared" si="45"/>
        <v>37.5</v>
      </c>
      <c r="N61" s="22">
        <f t="shared" si="45"/>
        <v>37.5</v>
      </c>
      <c r="O61" s="22">
        <f t="shared" si="45"/>
        <v>37.5</v>
      </c>
      <c r="P61" s="22">
        <f t="shared" si="45"/>
        <v>37.5</v>
      </c>
      <c r="Q61" s="22">
        <f t="shared" si="45"/>
        <v>37.5</v>
      </c>
      <c r="R61" s="22">
        <f t="shared" si="45"/>
        <v>37.5</v>
      </c>
      <c r="S61" s="22">
        <f t="shared" si="45"/>
        <v>37.5</v>
      </c>
      <c r="T61" s="22">
        <f t="shared" si="45"/>
        <v>37.5</v>
      </c>
      <c r="U61" s="22">
        <f t="shared" si="45"/>
        <v>26.25</v>
      </c>
      <c r="V61" s="22">
        <f t="shared" si="45"/>
        <v>5</v>
      </c>
    </row>
    <row r="62" spans="6:22" x14ac:dyDescent="0.25">
      <c r="G62" s="9">
        <f t="shared" si="44"/>
        <v>1.7999999999999998</v>
      </c>
      <c r="H62" s="22">
        <f t="shared" ref="H62:V71" si="46">(H34^2+H48^2)^0.5</f>
        <v>20.155644370746373</v>
      </c>
      <c r="I62" s="22">
        <f t="shared" si="46"/>
        <v>25.310570914145735</v>
      </c>
      <c r="J62" s="22">
        <f t="shared" si="46"/>
        <v>25.495097567963924</v>
      </c>
      <c r="K62" s="22">
        <f t="shared" si="46"/>
        <v>25</v>
      </c>
      <c r="L62" s="22">
        <f t="shared" si="46"/>
        <v>25</v>
      </c>
      <c r="M62" s="22">
        <f t="shared" si="46"/>
        <v>25</v>
      </c>
      <c r="N62" s="22">
        <f t="shared" si="46"/>
        <v>25</v>
      </c>
      <c r="O62" s="22">
        <f t="shared" si="46"/>
        <v>25</v>
      </c>
      <c r="P62" s="22">
        <f t="shared" si="46"/>
        <v>25</v>
      </c>
      <c r="Q62" s="22">
        <f t="shared" si="46"/>
        <v>25</v>
      </c>
      <c r="R62" s="22">
        <f t="shared" si="46"/>
        <v>25</v>
      </c>
      <c r="S62" s="22">
        <f t="shared" si="46"/>
        <v>25</v>
      </c>
      <c r="T62" s="22">
        <f t="shared" si="46"/>
        <v>25.625</v>
      </c>
      <c r="U62" s="22">
        <f t="shared" si="46"/>
        <v>25.769410160110379</v>
      </c>
      <c r="V62" s="22">
        <f t="shared" si="46"/>
        <v>21.830311495716227</v>
      </c>
    </row>
    <row r="63" spans="6:22" x14ac:dyDescent="0.25">
      <c r="G63" s="9">
        <f t="shared" si="44"/>
        <v>1.5999999999999999</v>
      </c>
      <c r="H63" s="22">
        <f t="shared" si="46"/>
        <v>24.622144504490262</v>
      </c>
      <c r="I63" s="22">
        <f t="shared" si="46"/>
        <v>17.365554986812256</v>
      </c>
      <c r="J63" s="22">
        <f t="shared" si="46"/>
        <v>7.2886898685566255</v>
      </c>
      <c r="K63" s="22">
        <f t="shared" si="46"/>
        <v>6.25</v>
      </c>
      <c r="L63" s="22">
        <f t="shared" si="46"/>
        <v>6.25</v>
      </c>
      <c r="M63" s="22">
        <f t="shared" si="46"/>
        <v>6.25</v>
      </c>
      <c r="N63" s="22">
        <f t="shared" si="46"/>
        <v>6.25</v>
      </c>
      <c r="O63" s="22">
        <f t="shared" si="46"/>
        <v>6.25</v>
      </c>
      <c r="P63" s="22">
        <f t="shared" si="46"/>
        <v>6.25</v>
      </c>
      <c r="Q63" s="22">
        <f t="shared" si="46"/>
        <v>6.25</v>
      </c>
      <c r="R63" s="22">
        <f t="shared" si="46"/>
        <v>6.25</v>
      </c>
      <c r="S63" s="22">
        <f t="shared" si="46"/>
        <v>6.25</v>
      </c>
      <c r="T63" s="22">
        <f t="shared" si="46"/>
        <v>8.0039052967910607</v>
      </c>
      <c r="U63" s="22">
        <f t="shared" si="46"/>
        <v>21.360009363293827</v>
      </c>
      <c r="V63" s="22">
        <f t="shared" si="46"/>
        <v>30.413812651491099</v>
      </c>
    </row>
    <row r="64" spans="6:22" x14ac:dyDescent="0.25">
      <c r="G64" s="9">
        <f t="shared" si="44"/>
        <v>1.4</v>
      </c>
      <c r="H64" s="22">
        <f t="shared" si="46"/>
        <v>18.027756377319946</v>
      </c>
      <c r="I64" s="22">
        <f t="shared" si="46"/>
        <v>10.307764064044152</v>
      </c>
      <c r="J64" s="22">
        <f t="shared" si="46"/>
        <v>2.5</v>
      </c>
      <c r="K64" s="22">
        <f t="shared" si="46"/>
        <v>0</v>
      </c>
      <c r="L64" s="22">
        <f t="shared" si="46"/>
        <v>0</v>
      </c>
      <c r="M64" s="22">
        <f t="shared" si="46"/>
        <v>0</v>
      </c>
      <c r="N64" s="22">
        <f t="shared" si="46"/>
        <v>0</v>
      </c>
      <c r="O64" s="22">
        <f t="shared" si="46"/>
        <v>0</v>
      </c>
      <c r="P64" s="22">
        <f t="shared" si="46"/>
        <v>0</v>
      </c>
      <c r="Q64" s="22">
        <f t="shared" si="46"/>
        <v>0</v>
      </c>
      <c r="R64" s="22">
        <f t="shared" si="46"/>
        <v>0</v>
      </c>
      <c r="S64" s="22">
        <f t="shared" si="46"/>
        <v>0</v>
      </c>
      <c r="T64" s="22">
        <f t="shared" si="46"/>
        <v>4.375</v>
      </c>
      <c r="U64" s="22">
        <f t="shared" si="46"/>
        <v>17.54458605952275</v>
      </c>
      <c r="V64" s="22">
        <f t="shared" si="46"/>
        <v>26.721947908039937</v>
      </c>
    </row>
    <row r="65" spans="7:22" x14ac:dyDescent="0.25">
      <c r="G65" s="9">
        <f t="shared" si="44"/>
        <v>1.2</v>
      </c>
      <c r="H65" s="22">
        <f t="shared" si="46"/>
        <v>12.5</v>
      </c>
      <c r="I65" s="22">
        <f t="shared" si="46"/>
        <v>5.5901699437494745</v>
      </c>
      <c r="J65" s="22">
        <f t="shared" si="46"/>
        <v>1.25</v>
      </c>
      <c r="K65" s="22">
        <f t="shared" si="46"/>
        <v>0</v>
      </c>
      <c r="L65" s="22">
        <f t="shared" si="46"/>
        <v>0</v>
      </c>
      <c r="M65" s="22">
        <f t="shared" si="46"/>
        <v>0</v>
      </c>
      <c r="N65" s="22">
        <f t="shared" si="46"/>
        <v>0</v>
      </c>
      <c r="O65" s="22">
        <f t="shared" si="46"/>
        <v>0</v>
      </c>
      <c r="P65" s="22">
        <f t="shared" si="46"/>
        <v>0</v>
      </c>
      <c r="Q65" s="22">
        <f t="shared" si="46"/>
        <v>0</v>
      </c>
      <c r="R65" s="22">
        <f t="shared" si="46"/>
        <v>0</v>
      </c>
      <c r="S65" s="22">
        <f t="shared" si="46"/>
        <v>0</v>
      </c>
      <c r="T65" s="22">
        <f t="shared" si="46"/>
        <v>3.75</v>
      </c>
      <c r="U65" s="22">
        <f t="shared" si="46"/>
        <v>15.051993223490369</v>
      </c>
      <c r="V65" s="22">
        <f t="shared" si="46"/>
        <v>23.048861143232219</v>
      </c>
    </row>
    <row r="66" spans="7:22" x14ac:dyDescent="0.25">
      <c r="G66" s="9">
        <f t="shared" si="44"/>
        <v>1</v>
      </c>
      <c r="H66" s="22">
        <f t="shared" si="46"/>
        <v>10</v>
      </c>
      <c r="I66" s="22">
        <f t="shared" si="46"/>
        <v>2.5</v>
      </c>
      <c r="J66" s="22">
        <f t="shared" si="46"/>
        <v>0</v>
      </c>
      <c r="K66" s="22">
        <f t="shared" si="46"/>
        <v>0</v>
      </c>
      <c r="L66" s="22">
        <f t="shared" si="46"/>
        <v>0</v>
      </c>
      <c r="M66" s="22">
        <f t="shared" si="46"/>
        <v>0</v>
      </c>
      <c r="N66" s="22">
        <f t="shared" si="46"/>
        <v>0</v>
      </c>
      <c r="O66" s="22">
        <f t="shared" si="46"/>
        <v>0</v>
      </c>
      <c r="P66" s="22">
        <f t="shared" si="46"/>
        <v>0</v>
      </c>
      <c r="Q66" s="22">
        <f t="shared" si="46"/>
        <v>0</v>
      </c>
      <c r="R66" s="22">
        <f t="shared" si="46"/>
        <v>0</v>
      </c>
      <c r="S66" s="22">
        <f t="shared" si="46"/>
        <v>0</v>
      </c>
      <c r="T66" s="22">
        <f t="shared" si="46"/>
        <v>3.125</v>
      </c>
      <c r="U66" s="22">
        <f t="shared" si="46"/>
        <v>12.562344526401112</v>
      </c>
      <c r="V66" s="22">
        <f t="shared" si="46"/>
        <v>19.405218370325031</v>
      </c>
    </row>
    <row r="67" spans="7:22" x14ac:dyDescent="0.25">
      <c r="G67" s="9">
        <f t="shared" si="44"/>
        <v>0.8</v>
      </c>
      <c r="H67" s="5"/>
      <c r="I67" s="5"/>
      <c r="J67" s="5"/>
      <c r="K67" s="5"/>
      <c r="L67" s="33"/>
      <c r="M67" s="23">
        <f t="shared" si="46"/>
        <v>0</v>
      </c>
      <c r="N67" s="22">
        <f t="shared" si="46"/>
        <v>0</v>
      </c>
      <c r="O67" s="22">
        <f t="shared" si="46"/>
        <v>0</v>
      </c>
      <c r="P67" s="22">
        <f t="shared" si="46"/>
        <v>0</v>
      </c>
      <c r="Q67" s="22">
        <f t="shared" si="46"/>
        <v>0</v>
      </c>
      <c r="R67" s="22">
        <f t="shared" si="46"/>
        <v>0</v>
      </c>
      <c r="S67" s="22">
        <f t="shared" si="46"/>
        <v>0</v>
      </c>
      <c r="T67" s="22">
        <f t="shared" si="46"/>
        <v>2.5</v>
      </c>
      <c r="U67" s="22">
        <f t="shared" si="46"/>
        <v>10.077822185373186</v>
      </c>
      <c r="V67" s="22">
        <f t="shared" si="46"/>
        <v>15.811388300841896</v>
      </c>
    </row>
    <row r="68" spans="7:22" x14ac:dyDescent="0.25">
      <c r="G68" s="9">
        <f t="shared" si="44"/>
        <v>0.60000000000000009</v>
      </c>
      <c r="H68" s="5"/>
      <c r="I68" s="5"/>
      <c r="J68" s="5"/>
      <c r="K68" s="5"/>
      <c r="L68" s="5"/>
      <c r="M68" s="34"/>
      <c r="N68" s="23">
        <f t="shared" si="46"/>
        <v>0</v>
      </c>
      <c r="O68" s="22">
        <f t="shared" si="46"/>
        <v>0</v>
      </c>
      <c r="P68" s="22">
        <f t="shared" si="46"/>
        <v>0</v>
      </c>
      <c r="Q68" s="22">
        <f t="shared" si="46"/>
        <v>0</v>
      </c>
      <c r="R68" s="22">
        <f t="shared" si="46"/>
        <v>0</v>
      </c>
      <c r="S68" s="22">
        <f t="shared" si="46"/>
        <v>0</v>
      </c>
      <c r="T68" s="22">
        <f t="shared" si="46"/>
        <v>1.875</v>
      </c>
      <c r="U68" s="22">
        <f t="shared" si="46"/>
        <v>7.6034531628727748</v>
      </c>
      <c r="V68" s="22">
        <f t="shared" si="46"/>
        <v>12.311072252245131</v>
      </c>
    </row>
    <row r="69" spans="7:22" x14ac:dyDescent="0.25">
      <c r="G69" s="9">
        <f t="shared" si="44"/>
        <v>0.4</v>
      </c>
      <c r="H69" s="5"/>
      <c r="I69" s="5"/>
      <c r="J69" s="5"/>
      <c r="K69" s="5"/>
      <c r="L69" s="5"/>
      <c r="M69" s="5"/>
      <c r="N69" s="34"/>
      <c r="O69" s="23">
        <f t="shared" si="46"/>
        <v>0</v>
      </c>
      <c r="P69" s="22">
        <f t="shared" si="46"/>
        <v>0</v>
      </c>
      <c r="Q69" s="22">
        <f t="shared" si="46"/>
        <v>0</v>
      </c>
      <c r="R69" s="22">
        <f t="shared" si="46"/>
        <v>0</v>
      </c>
      <c r="S69" s="22">
        <f t="shared" si="46"/>
        <v>0</v>
      </c>
      <c r="T69" s="22">
        <f t="shared" si="46"/>
        <v>1.25</v>
      </c>
      <c r="U69" s="22">
        <f t="shared" si="46"/>
        <v>5.153882032022076</v>
      </c>
      <c r="V69" s="22">
        <f t="shared" si="46"/>
        <v>9.013878188659973</v>
      </c>
    </row>
    <row r="70" spans="7:22" x14ac:dyDescent="0.25">
      <c r="G70" s="9">
        <f>G71+B$2</f>
        <v>0.2</v>
      </c>
      <c r="H70" s="5"/>
      <c r="I70" s="5"/>
      <c r="J70" s="5"/>
      <c r="K70" s="5"/>
      <c r="L70" s="5"/>
      <c r="M70" s="5"/>
      <c r="N70" s="5"/>
      <c r="O70" s="34"/>
      <c r="P70" s="23">
        <f t="shared" si="46"/>
        <v>0</v>
      </c>
      <c r="Q70" s="22">
        <f t="shared" si="46"/>
        <v>0</v>
      </c>
      <c r="R70" s="22">
        <f t="shared" si="46"/>
        <v>0</v>
      </c>
      <c r="S70" s="22">
        <f t="shared" si="46"/>
        <v>0</v>
      </c>
      <c r="T70" s="22">
        <f t="shared" si="46"/>
        <v>0.625</v>
      </c>
      <c r="U70" s="22">
        <f t="shared" si="46"/>
        <v>2.7950849718747373</v>
      </c>
      <c r="V70" s="22">
        <f t="shared" si="46"/>
        <v>6.25</v>
      </c>
    </row>
    <row r="71" spans="7:22" x14ac:dyDescent="0.25">
      <c r="G71" s="9">
        <v>0</v>
      </c>
      <c r="H71" s="5"/>
      <c r="I71" s="5"/>
      <c r="J71" s="5"/>
      <c r="K71" s="5"/>
      <c r="L71" s="5"/>
      <c r="M71" s="5"/>
      <c r="N71" s="5"/>
      <c r="O71" s="5"/>
      <c r="P71" s="33"/>
      <c r="Q71" s="23">
        <f t="shared" si="46"/>
        <v>0</v>
      </c>
      <c r="R71" s="22">
        <f t="shared" si="46"/>
        <v>0</v>
      </c>
      <c r="S71" s="22">
        <f t="shared" si="46"/>
        <v>0</v>
      </c>
      <c r="T71" s="22">
        <f t="shared" si="46"/>
        <v>0</v>
      </c>
      <c r="U71" s="22">
        <f t="shared" si="46"/>
        <v>1.25</v>
      </c>
      <c r="V71" s="22">
        <f t="shared" si="46"/>
        <v>5</v>
      </c>
    </row>
    <row r="72" spans="7:22" x14ac:dyDescent="0.25">
      <c r="G72" s="5"/>
      <c r="H72" s="9">
        <v>0</v>
      </c>
      <c r="I72" s="9">
        <f>H72+$B$2</f>
        <v>0.2</v>
      </c>
      <c r="J72" s="9">
        <f t="shared" ref="J72:V72" si="47">I72+$B$2</f>
        <v>0.4</v>
      </c>
      <c r="K72" s="9">
        <f t="shared" si="47"/>
        <v>0.60000000000000009</v>
      </c>
      <c r="L72" s="9">
        <f t="shared" si="47"/>
        <v>0.8</v>
      </c>
      <c r="M72" s="9">
        <f t="shared" si="47"/>
        <v>1</v>
      </c>
      <c r="N72" s="9">
        <f t="shared" si="47"/>
        <v>1.2</v>
      </c>
      <c r="O72" s="9">
        <f t="shared" si="47"/>
        <v>1.4</v>
      </c>
      <c r="P72" s="9">
        <f t="shared" si="47"/>
        <v>1.5999999999999999</v>
      </c>
      <c r="Q72" s="9">
        <f t="shared" si="47"/>
        <v>1.7999999999999998</v>
      </c>
      <c r="R72" s="9">
        <f t="shared" si="47"/>
        <v>1.9999999999999998</v>
      </c>
      <c r="S72" s="9">
        <f t="shared" si="47"/>
        <v>2.1999999999999997</v>
      </c>
      <c r="T72" s="9">
        <f t="shared" si="47"/>
        <v>2.4</v>
      </c>
      <c r="U72" s="9">
        <f t="shared" si="47"/>
        <v>2.6</v>
      </c>
      <c r="V72" s="9">
        <f t="shared" si="47"/>
        <v>2.8000000000000003</v>
      </c>
    </row>
  </sheetData>
  <conditionalFormatting sqref="H19:V2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1">
      <colorScale>
        <cfvo type="min"/>
        <cfvo type="max"/>
        <color theme="4" tint="0.79998168889431442"/>
        <color theme="4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5">
      <colorScale>
        <cfvo type="min"/>
        <cfvo type="max"/>
        <color rgb="FFFCFCFF"/>
        <color rgb="FFF8696B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2021-05-04T10:51:41Z</dcterms:created>
  <dcterms:modified xsi:type="dcterms:W3CDTF">2021-05-04T10:56:25Z</dcterms:modified>
</cp:coreProperties>
</file>